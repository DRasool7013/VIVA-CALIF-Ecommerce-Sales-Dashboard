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06037e9cf2190ede/Desktop/excel project 3/"/>
    </mc:Choice>
  </mc:AlternateContent>
  <xr:revisionPtr revIDLastSave="1802" documentId="8_{BC196FCA-73CC-42AB-81A9-FAA687A2653F}" xr6:coauthVersionLast="47" xr6:coauthVersionMax="47" xr10:uidLastSave="{14DBB562-BE98-43AF-AB1C-D7A23F0689A0}"/>
  <bookViews>
    <workbookView xWindow="-108" yWindow="-108" windowWidth="23256" windowHeight="13896" tabRatio="829" activeTab="2" xr2:uid="{346724B3-1C49-40AE-AA36-C77CF5D6DD09}"/>
  </bookViews>
  <sheets>
    <sheet name="Data" sheetId="1" r:id="rId1"/>
    <sheet name="Questions &amp; KPIs" sheetId="2" r:id="rId2"/>
    <sheet name="Dashboard" sheetId="6" r:id="rId3"/>
    <sheet name="Sheet1" sheetId="5" r:id="rId4"/>
  </sheets>
  <definedNames>
    <definedName name="_xlchart.v5.0" hidden="1">Sheet1!$AF$41:$AG$41</definedName>
    <definedName name="_xlchart.v5.1" hidden="1">Sheet1!$AF$42:$AG$99</definedName>
    <definedName name="_xlchart.v5.10" hidden="1">Sheet1!$AL$40</definedName>
    <definedName name="_xlchart.v5.11" hidden="1">Sheet1!$AL$41:$AL$98</definedName>
    <definedName name="_xlchart.v5.12" hidden="1">Sheet1!$AM$40</definedName>
    <definedName name="_xlchart.v5.13" hidden="1">Sheet1!$AM$41:$AM$98</definedName>
    <definedName name="_xlchart.v5.2" hidden="1">Sheet1!$AH$41</definedName>
    <definedName name="_xlchart.v5.3" hidden="1">Sheet1!$AH$42:$AH$99</definedName>
    <definedName name="_xlchart.v5.4" hidden="1">Sheet1!$AA$41:$AB$41</definedName>
    <definedName name="_xlchart.v5.5" hidden="1">Sheet1!$AA$42:$AB$99</definedName>
    <definedName name="_xlchart.v5.6" hidden="1">Sheet1!$AC$41</definedName>
    <definedName name="_xlchart.v5.7" hidden="1">Sheet1!$AC$42:$AC$99</definedName>
    <definedName name="_xlchart.v5.8" hidden="1">Sheet1!$AJ$40:$AK$40</definedName>
    <definedName name="_xlchart.v5.9" hidden="1">Sheet1!$AJ$41:$AK$98</definedName>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0" i="5" l="1"/>
  <c r="N17" i="5"/>
  <c r="O17" i="5"/>
  <c r="P17" i="5"/>
  <c r="Q17" i="5"/>
  <c r="R17" i="5"/>
  <c r="N18" i="5"/>
  <c r="O18" i="5"/>
  <c r="P18" i="5"/>
  <c r="Q18" i="5"/>
  <c r="R18" i="5"/>
  <c r="N19" i="5"/>
  <c r="O19" i="5"/>
  <c r="P19" i="5"/>
  <c r="Q19" i="5"/>
  <c r="R19" i="5"/>
  <c r="N20" i="5"/>
  <c r="O20" i="5"/>
  <c r="P20" i="5"/>
  <c r="Q20" i="5"/>
  <c r="O16" i="5"/>
  <c r="P16" i="5"/>
  <c r="Q16" i="5"/>
  <c r="R16" i="5"/>
  <c r="P15" i="5"/>
  <c r="Q15" i="5"/>
  <c r="R15" i="5"/>
  <c r="O15" i="5"/>
  <c r="N16"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B42" i="5"/>
  <c r="AC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H43" i="5"/>
  <c r="AH44" i="5"/>
  <c r="AH45" i="5"/>
  <c r="AH46" i="5"/>
  <c r="AH47" i="5"/>
  <c r="AH48" i="5"/>
  <c r="AH49" i="5"/>
  <c r="AH50" i="5"/>
  <c r="AH51" i="5"/>
  <c r="AH52" i="5"/>
  <c r="AH53" i="5"/>
  <c r="AH54" i="5"/>
  <c r="AH55" i="5"/>
  <c r="AH56" i="5"/>
  <c r="AH57" i="5"/>
  <c r="AH58" i="5"/>
  <c r="AH59" i="5"/>
  <c r="AH60" i="5"/>
  <c r="AH61" i="5"/>
  <c r="AH62" i="5"/>
  <c r="AH63" i="5"/>
  <c r="AH64" i="5"/>
  <c r="AH65" i="5"/>
  <c r="AH66" i="5"/>
  <c r="AH67" i="5"/>
  <c r="AH68" i="5"/>
  <c r="AH69" i="5"/>
  <c r="AH70" i="5"/>
  <c r="AH71" i="5"/>
  <c r="AH72" i="5"/>
  <c r="AH73" i="5"/>
  <c r="AH74" i="5"/>
  <c r="AH75" i="5"/>
  <c r="AH76" i="5"/>
  <c r="AH77" i="5"/>
  <c r="AH78" i="5"/>
  <c r="AH79" i="5"/>
  <c r="AH80" i="5"/>
  <c r="AH81" i="5"/>
  <c r="AH82" i="5"/>
  <c r="AH83" i="5"/>
  <c r="AH84" i="5"/>
  <c r="AH85" i="5"/>
  <c r="AH86" i="5"/>
  <c r="AH87" i="5"/>
  <c r="AH88" i="5"/>
  <c r="AH89" i="5"/>
  <c r="AH90" i="5"/>
  <c r="AH91" i="5"/>
  <c r="AH92" i="5"/>
  <c r="AH93" i="5"/>
  <c r="AH94" i="5"/>
  <c r="AH95" i="5"/>
  <c r="AH96" i="5"/>
  <c r="AH97" i="5"/>
  <c r="AH98" i="5"/>
  <c r="AH99" i="5"/>
  <c r="AH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G42" i="5"/>
  <c r="AF42" i="5"/>
  <c r="I5" i="5"/>
  <c r="M5" i="5"/>
  <c r="L5" i="5"/>
  <c r="K5" i="5"/>
  <c r="J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<sst xmlns="http://schemas.openxmlformats.org/spreadsheetml/2006/main" count="14685" uniqueCount="2541">
  <si>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</si>
  <si>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</si>
  <si>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</si>
  <si>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</si>
  <si>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</si>
  <si>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</si>
  <si>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</si>
  <si>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</si>
  <si>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</si>
  <si>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</si>
  <si>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</si>
  <si>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</si>
  <si>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</si>
  <si>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</si>
  <si>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</si>
  <si>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</si>
  <si>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</si>
  <si>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</si>
  <si>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</si>
  <si>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</si>
  <si>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</si>
  <si>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</si>
  <si>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</si>
  <si>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</si>
  <si>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</si>
  <si>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</si>
  <si>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</si>
  <si>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</si>
  <si>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</si>
  <si>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</si>
  <si>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</si>
  <si>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</si>
  <si>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</si>
  <si>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</si>
  <si>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</si>
  <si>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</si>
  <si>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</si>
  <si>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</si>
  <si>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</si>
  <si>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</si>
  <si>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</si>
  <si>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</si>
  <si>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</si>
  <si>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</si>
  <si>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</si>
  <si>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</si>
  <si>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</si>
  <si>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</si>
  <si>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</si>
  <si>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</si>
  <si>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</si>
  <si>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</si>
  <si>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</si>
  <si>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</si>
  <si>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</si>
  <si>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</si>
  <si>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</si>
  <si>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</si>
  <si>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</si>
  <si>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</si>
  <si>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</si>
  <si>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</si>
  <si>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</si>
  <si>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</si>
  <si>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</si>
  <si>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</si>
  <si>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</si>
  <si>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</si>
  <si>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</si>
  <si>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</si>
  <si>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</si>
  <si>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</si>
  <si>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</si>
  <si>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</si>
  <si>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</si>
  <si>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</si>
  <si>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</si>
  <si>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</si>
  <si>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</si>
  <si>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</si>
  <si>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</si>
  <si>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</si>
  <si>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</si>
  <si>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</si>
  <si>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</si>
  <si>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</si>
  <si>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</si>
  <si>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</si>
  <si>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</si>
  <si>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</si>
  <si>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</si>
  <si>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</si>
  <si>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</si>
  <si>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</si>
  <si>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</si>
  <si>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</si>
  <si>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</si>
  <si>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</si>
  <si>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</si>
  <si>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</si>
  <si>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</si>
  <si>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</si>
  <si>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</si>
  <si>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</si>
  <si>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</si>
  <si>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</si>
  <si>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</si>
  <si>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</si>
  <si>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</si>
  <si>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</si>
  <si>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</si>
  <si>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</si>
  <si>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</si>
  <si>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</si>
  <si>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</si>
  <si>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</si>
  <si>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</si>
  <si>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</si>
  <si>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</si>
  <si>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</si>
  <si>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</si>
  <si>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</si>
  <si>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</si>
  <si>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</si>
  <si>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</si>
  <si>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</si>
  <si>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</si>
  <si>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</si>
  <si>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</si>
  <si>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</si>
  <si>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</si>
  <si>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</si>
  <si>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</si>
  <si>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</si>
  <si>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</si>
  <si>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</si>
  <si>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</si>
  <si>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</si>
  <si>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</si>
  <si>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</si>
  <si>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</si>
  <si>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</si>
  <si>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</si>
  <si>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</si>
  <si>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</si>
  <si>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</si>
  <si>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</si>
  <si>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</si>
  <si>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</si>
  <si>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</si>
  <si>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</si>
  <si>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</si>
  <si>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</si>
  <si>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</si>
  <si>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</si>
  <si>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</si>
  <si>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</si>
  <si>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</si>
  <si>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</si>
  <si>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</si>
  <si>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</si>
  <si>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</si>
  <si>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</si>
  <si>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</si>
  <si>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</si>
  <si>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</si>
  <si>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</si>
  <si>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</si>
  <si>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</si>
  <si>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</si>
  <si>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</si>
  <si>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</si>
  <si>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</si>
  <si>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</si>
  <si>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</si>
  <si>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</si>
  <si>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</si>
  <si>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</si>
  <si>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</si>
  <si>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</si>
  <si>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</si>
  <si>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</si>
  <si>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</si>
  <si>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</si>
  <si>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</si>
  <si>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</si>
  <si>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</si>
  <si>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</si>
  <si>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</si>
  <si>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</si>
  <si>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</si>
  <si>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</si>
  <si>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</si>
  <si>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</si>
  <si>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</si>
  <si>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</si>
  <si>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</si>
  <si>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</si>
  <si>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</si>
  <si>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</si>
  <si>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</si>
  <si>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</si>
  <si>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</si>
  <si>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</si>
  <si>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</si>
  <si>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</si>
  <si>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</si>
  <si>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</si>
  <si>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</si>
  <si>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</si>
  <si>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</si>
  <si>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</si>
  <si>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</si>
  <si>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</si>
  <si>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</si>
  <si>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</si>
  <si>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</si>
  <si>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</si>
  <si>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</si>
  <si>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</si>
  <si>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</si>
  <si>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</si>
  <si>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</si>
  <si>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</si>
  <si>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</si>
  <si>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</si>
  <si>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</si>
  <si>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</si>
  <si>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</si>
  <si>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</si>
  <si>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</si>
  <si>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</si>
  <si>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</si>
  <si>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</si>
  <si>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</si>
  <si>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</si>
  <si>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</si>
  <si>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</si>
  <si>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</si>
  <si>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</si>
  <si>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</si>
  <si>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</si>
  <si>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</si>
  <si>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</si>
  <si>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</si>
  <si>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</si>
  <si>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</si>
  <si>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</si>
  <si>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</si>
  <si>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</si>
  <si>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</si>
  <si>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</si>
  <si>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</si>
  <si>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</si>
  <si>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</si>
  <si>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</si>
  <si>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</si>
  <si>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</si>
  <si>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</si>
  <si>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</si>
  <si>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</si>
  <si>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</si>
  <si>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</si>
  <si>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</si>
  <si>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</si>
  <si>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</si>
  <si>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</si>
  <si>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</si>
  <si>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</si>
  <si>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</si>
  <si>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</si>
  <si>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</si>
  <si>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</si>
  <si>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</si>
  <si>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</si>
  <si>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</si>
  <si>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</si>
  <si>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</si>
  <si>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</si>
  <si>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</si>
  <si>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</si>
  <si>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</si>
  <si>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</si>
  <si>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</si>
  <si>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</si>
  <si>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</si>
  <si>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</si>
  <si>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</si>
  <si>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</si>
  <si>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</si>
  <si>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</si>
  <si>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</si>
  <si>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</si>
  <si>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</si>
  <si>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</si>
  <si>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</si>
  <si>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</si>
  <si>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</si>
  <si>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</si>
  <si>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</si>
  <si>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</si>
  <si>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</si>
  <si>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</si>
  <si>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</si>
  <si>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</si>
  <si>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</si>
  <si>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</si>
  <si>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</si>
  <si>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</si>
  <si>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</si>
  <si>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</si>
  <si>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</si>
  <si>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</si>
  <si>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</si>
  <si>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</si>
  <si>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</si>
  <si>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</si>
  <si>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</si>
  <si>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</si>
  <si>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</si>
  <si>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</si>
  <si>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</si>
  <si>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</si>
  <si>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</si>
  <si>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</si>
  <si>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</si>
  <si>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</si>
  <si>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</si>
  <si>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</si>
  <si>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</si>
  <si>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</si>
  <si>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</si>
  <si>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</si>
  <si>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</si>
  <si>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</si>
  <si>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</si>
  <si>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</si>
  <si>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</si>
  <si>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</si>
  <si>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</si>
  <si>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</si>
  <si>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</si>
  <si>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</si>
  <si>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</si>
  <si>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</si>
  <si>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</si>
  <si>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</si>
  <si>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</si>
  <si>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</si>
  <si>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</si>
  <si>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</si>
  <si>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</si>
  <si>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</si>
  <si>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</si>
  <si>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</si>
  <si>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</si>
  <si>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</si>
  <si>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</si>
  <si>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</si>
  <si>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</si>
  <si>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</si>
  <si>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</si>
  <si>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</si>
  <si>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</si>
  <si>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</si>
  <si>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</si>
  <si>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</si>
  <si>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</si>
  <si>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</si>
  <si>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</si>
  <si>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</si>
  <si>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</si>
  <si>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</si>
  <si>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</si>
  <si>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</si>
  <si>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</si>
  <si>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</si>
  <si>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</si>
  <si>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</si>
  <si>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</si>
  <si>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</si>
  <si>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</si>
  <si>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</si>
  <si>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</si>
  <si>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</si>
  <si>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</si>
  <si>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</si>
  <si>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</si>
  <si>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</si>
  <si>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</si>
  <si>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</si>
  <si>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</si>
  <si>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</si>
  <si>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</si>
  <si>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</si>
  <si>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</si>
  <si>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</si>
  <si>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</si>
  <si>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</si>
  <si>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</si>
  <si>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</si>
  <si>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</si>
  <si>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</si>
  <si>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</si>
  <si>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</si>
  <si>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</si>
  <si>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</si>
  <si>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</si>
  <si>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</si>
  <si>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</si>
  <si>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</si>
  <si>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</si>
  <si>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</si>
  <si>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</si>
  <si>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</si>
  <si>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</si>
  <si>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</si>
  <si>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</si>
  <si>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</si>
  <si>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</si>
  <si>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</si>
  <si>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</si>
  <si>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</si>
  <si>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</si>
  <si>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</si>
  <si>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</si>
  <si>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</si>
  <si>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</si>
  <si>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</si>
  <si>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</si>
  <si>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</si>
  <si>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</si>
  <si>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</si>
  <si>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</si>
  <si>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</si>
  <si>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</si>
  <si>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</si>
  <si>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</si>
  <si>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</si>
  <si>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</si>
  <si>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</si>
  <si>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</si>
  <si>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</si>
  <si>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</si>
  <si>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</si>
  <si>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</si>
  <si>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</si>
  <si>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</si>
  <si>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</si>
  <si>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</si>
  <si>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</si>
  <si>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</si>
  <si>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</si>
  <si>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</si>
  <si>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</si>
  <si>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</si>
  <si>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</si>
  <si>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</si>
  <si>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</si>
  <si>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</si>
  <si>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</si>
  <si>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</si>
  <si>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</si>
  <si>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</si>
  <si>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</si>
  <si>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</si>
  <si>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</si>
  <si>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</si>
  <si>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</si>
  <si>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</si>
  <si>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</si>
  <si>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</si>
  <si>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</si>
  <si>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</si>
  <si>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</si>
  <si>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</si>
  <si>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</si>
  <si>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</si>
  <si>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</si>
  <si>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</si>
  <si>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</si>
  <si>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</si>
  <si>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</si>
  <si>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</si>
  <si>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</si>
  <si>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</si>
  <si>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</si>
  <si>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</si>
  <si>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</si>
  <si>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</si>
  <si>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</si>
  <si>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</si>
  <si>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</si>
  <si>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</si>
  <si>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</si>
  <si>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</si>
  <si>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</si>
  <si>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</si>
  <si>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</si>
  <si>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</si>
  <si>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</si>
  <si>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</si>
  <si>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</si>
  <si>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</si>
  <si>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</si>
  <si>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</si>
  <si>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</si>
  <si>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</si>
  <si>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</si>
  <si>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</si>
  <si>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</si>
  <si>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</si>
  <si>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</si>
  <si>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</si>
  <si>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</si>
  <si>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</si>
  <si>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</si>
  <si>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</si>
  <si>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</si>
  <si>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</si>
  <si>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</si>
  <si>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</si>
  <si>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</si>
  <si>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</si>
  <si>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</si>
  <si>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</si>
  <si>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</si>
  <si>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</si>
  <si>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</si>
  <si>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</si>
  <si>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</si>
  <si>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</si>
  <si>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</si>
  <si>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</si>
  <si>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</si>
  <si>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</si>
  <si>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</si>
  <si>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</si>
  <si>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</si>
  <si>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</si>
  <si>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</si>
  <si>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</si>
  <si>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</si>
  <si>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</si>
  <si>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</si>
  <si>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</si>
  <si>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</si>
  <si>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</si>
  <si>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</si>
  <si>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</si>
  <si>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</si>
  <si>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</si>
  <si>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</si>
  <si>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</si>
  <si>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</si>
  <si>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</si>
  <si>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</si>
  <si>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</si>
  <si>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</si>
  <si>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</si>
  <si>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</si>
  <si>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</si>
  <si>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</si>
  <si>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</si>
  <si>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</si>
  <si>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</si>
  <si>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</si>
  <si>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</si>
  <si>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</si>
  <si>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</si>
  <si>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</si>
  <si>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</si>
  <si>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</si>
  <si>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</si>
  <si>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</si>
  <si>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</si>
  <si>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</si>
  <si>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</si>
  <si>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</si>
  <si>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</si>
  <si>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</si>
  <si>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</si>
  <si>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</si>
  <si>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</si>
  <si>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</si>
  <si>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</si>
  <si>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</si>
  <si>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</si>
  <si>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</si>
  <si>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</si>
  <si>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</si>
  <si>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</si>
  <si>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</si>
  <si>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</si>
  <si>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</si>
  <si>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</si>
  <si>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</si>
  <si>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</si>
  <si>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</si>
  <si>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</si>
  <si>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</si>
  <si>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</si>
  <si>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</si>
  <si>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</si>
  <si>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</si>
  <si>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</si>
  <si>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</si>
  <si>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</si>
  <si>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</si>
  <si>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</si>
  <si>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</si>
  <si>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</si>
  <si>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</si>
  <si>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</si>
  <si>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</si>
  <si>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</si>
  <si>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</si>
  <si>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</si>
  <si>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</si>
  <si>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</si>
  <si>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</si>
  <si>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</si>
  <si>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</si>
  <si>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</si>
  <si>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</si>
  <si>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</si>
  <si>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</si>
  <si>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</si>
  <si>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</si>
  <si>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</si>
  <si>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</si>
  <si>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</si>
  <si>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</si>
  <si>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</si>
  <si>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</si>
  <si>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</si>
  <si>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</si>
  <si>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</si>
  <si>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</si>
  <si>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</si>
  <si>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</si>
  <si>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</si>
  <si>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</si>
  <si>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</si>
  <si>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</si>
  <si>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</si>
  <si>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</si>
  <si>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</si>
  <si>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</si>
  <si>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</si>
  <si>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</si>
  <si>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</si>
  <si>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</si>
  <si>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</si>
  <si>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</si>
  <si>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</si>
  <si>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</si>
  <si>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</si>
  <si>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</si>
  <si>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</si>
  <si>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</si>
  <si>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</si>
  <si>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</si>
  <si>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</si>
  <si>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</si>
  <si>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</si>
  <si>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</si>
  <si>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</si>
  <si>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</si>
  <si>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</si>
  <si>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</si>
  <si>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</si>
  <si>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</si>
  <si>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</si>
  <si>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</si>
  <si>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</si>
  <si>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</si>
  <si>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</si>
  <si>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</si>
  <si>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</si>
  <si>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</si>
  <si>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</si>
  <si>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</si>
  <si>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</si>
  <si>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</si>
  <si>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</si>
  <si>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</si>
  <si>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</si>
  <si>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</si>
  <si>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</si>
  <si>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</si>
  <si>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</si>
  <si>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</si>
  <si>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</si>
  <si>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</si>
  <si>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</si>
  <si>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</si>
  <si>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</si>
  <si>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</si>
  <si>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</si>
  <si>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</si>
  <si>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</si>
  <si>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</si>
  <si>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</si>
  <si>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</si>
  <si>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</si>
  <si>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</si>
  <si>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</si>
  <si>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</si>
  <si>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</si>
  <si>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</si>
  <si>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</si>
  <si>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</si>
  <si>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</si>
  <si>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</si>
  <si>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</si>
  <si>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</si>
  <si>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</si>
  <si>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</si>
  <si>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</si>
  <si>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</si>
  <si>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</si>
  <si>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</si>
  <si>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</si>
  <si>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</si>
  <si>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</si>
  <si>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</si>
  <si>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</si>
  <si>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</si>
  <si>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</si>
  <si>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</si>
  <si>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</si>
  <si>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</si>
  <si>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</si>
  <si>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</si>
  <si>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</si>
  <si>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</si>
  <si>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</si>
  <si>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</si>
  <si>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</si>
  <si>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</si>
  <si>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</si>
  <si>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</si>
  <si>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</si>
  <si>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</si>
  <si>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</si>
  <si>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</si>
  <si>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</si>
  <si>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</si>
  <si>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</si>
  <si>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</si>
  <si>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</si>
  <si>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</si>
  <si>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</si>
  <si>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</si>
  <si>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</si>
  <si>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</si>
  <si>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</si>
  <si>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</si>
  <si>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</si>
  <si>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</si>
  <si>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</si>
  <si>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</si>
  <si>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</si>
  <si>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</si>
  <si>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</si>
  <si>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</si>
  <si>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</si>
  <si>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</si>
  <si>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</si>
  <si>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</si>
  <si>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</si>
  <si>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</si>
  <si>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</si>
  <si>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</si>
  <si>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</si>
  <si>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</si>
  <si>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</si>
  <si>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</si>
  <si>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</si>
  <si>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</si>
  <si>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</si>
  <si>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</si>
  <si>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</si>
  <si>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</si>
  <si>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</si>
  <si>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</si>
  <si>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</si>
  <si>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</si>
  <si>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</si>
  <si>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</si>
  <si>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</si>
  <si>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</si>
  <si>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</si>
  <si>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</si>
  <si>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</si>
  <si>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</si>
  <si>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</si>
  <si>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</si>
  <si>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</si>
  <si>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</si>
  <si>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</si>
  <si>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</si>
  <si>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</si>
  <si>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</si>
  <si>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</si>
  <si>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</si>
  <si>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</si>
  <si>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</si>
  <si>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</si>
  <si>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</si>
  <si>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</si>
  <si>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</si>
  <si>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</si>
  <si>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</si>
  <si>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</si>
  <si>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</si>
  <si>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</si>
  <si>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</si>
  <si>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</si>
  <si>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</si>
  <si>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</si>
  <si>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</si>
  <si>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</si>
  <si>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</si>
  <si>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</si>
  <si>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</si>
  <si>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</si>
  <si>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</si>
  <si>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</si>
  <si>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</si>
  <si>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</si>
  <si>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</si>
  <si>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</si>
  <si>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</si>
  <si>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</si>
  <si>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</si>
  <si>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</si>
  <si>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</si>
  <si>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</si>
  <si>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</si>
  <si>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</si>
  <si>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</si>
  <si>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</si>
  <si>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</si>
  <si>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</si>
  <si>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</si>
  <si>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</si>
  <si>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</si>
  <si>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</si>
  <si>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</si>
  <si>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</si>
  <si>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</si>
  <si>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</si>
  <si>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</si>
  <si>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</si>
  <si>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</si>
  <si>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</si>
  <si>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</si>
  <si>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</si>
  <si>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</si>
  <si>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</si>
  <si>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</si>
  <si>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</si>
  <si>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</si>
  <si>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</si>
  <si>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</si>
  <si>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</si>
  <si>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</si>
  <si>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</si>
  <si>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</si>
  <si>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</si>
  <si>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</si>
  <si>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</si>
  <si>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</si>
  <si>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</si>
  <si>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</si>
  <si>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</si>
  <si>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</si>
  <si>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</si>
  <si>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</si>
  <si>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</si>
  <si>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</si>
  <si>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</si>
  <si>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</si>
  <si>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</si>
  <si>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</si>
  <si>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</si>
  <si>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</si>
  <si>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</si>
  <si>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</si>
  <si>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</si>
  <si>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</si>
  <si>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</si>
  <si>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</si>
  <si>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</si>
  <si>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</si>
  <si>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</si>
  <si>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</si>
  <si>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</si>
  <si>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</si>
  <si>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</si>
  <si>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</si>
  <si>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</si>
  <si>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</si>
  <si>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</si>
  <si>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</si>
  <si>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</si>
  <si>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</si>
  <si>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</si>
  <si>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</si>
  <si>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</si>
  <si>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</si>
  <si>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</si>
  <si>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</si>
  <si>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</si>
  <si>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</si>
  <si>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</si>
  <si>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</si>
  <si>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</si>
  <si>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</si>
  <si>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</si>
  <si>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</si>
  <si>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</si>
  <si>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</si>
  <si>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</si>
  <si>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</si>
  <si>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</si>
  <si>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</si>
  <si>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</si>
  <si>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</si>
  <si>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</si>
  <si>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</si>
  <si>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</si>
  <si>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</si>
  <si>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</si>
  <si>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</si>
  <si>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</si>
  <si>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</si>
  <si>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</si>
  <si>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</si>
  <si>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</si>
  <si>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</si>
  <si>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</si>
  <si>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</si>
  <si>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</si>
  <si>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</si>
  <si>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</si>
  <si>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</si>
  <si>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</si>
  <si>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</si>
  <si>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</si>
  <si>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</si>
  <si>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</si>
  <si>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</si>
  <si>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</si>
  <si>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</si>
  <si>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</si>
  <si>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</si>
  <si>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</si>
  <si>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</si>
  <si>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</si>
  <si>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</si>
  <si>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</si>
  <si>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</si>
  <si>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</si>
  <si>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</si>
  <si>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</si>
  <si>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</si>
  <si>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</si>
  <si>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</si>
  <si>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</si>
  <si>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</si>
  <si>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</si>
  <si>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</si>
  <si>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</si>
  <si>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</si>
  <si>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</si>
  <si>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</si>
  <si>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</si>
  <si>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</si>
  <si>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</si>
  <si>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</si>
  <si>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</si>
  <si>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</si>
  <si>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</si>
  <si>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</si>
  <si>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</si>
  <si>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</si>
  <si>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</si>
  <si>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</si>
  <si>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</si>
  <si>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</si>
  <si>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</si>
  <si>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</si>
  <si>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</si>
  <si>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</si>
  <si>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</si>
  <si>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</si>
  <si>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</si>
  <si>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</si>
  <si>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</si>
  <si>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</si>
  <si>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</si>
  <si>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</si>
  <si>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</si>
  <si>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</si>
  <si>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</si>
  <si>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</si>
  <si>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</si>
  <si>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</si>
  <si>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</si>
  <si>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</si>
  <si>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</si>
  <si>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</si>
  <si>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</si>
  <si>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</si>
  <si>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</si>
  <si>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</si>
  <si>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</si>
  <si>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</si>
  <si>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</si>
  <si>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</si>
  <si>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</si>
  <si>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</si>
  <si>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</si>
  <si>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</si>
  <si>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</si>
  <si>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</si>
  <si>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</si>
  <si>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</si>
  <si>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</si>
  <si>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</si>
  <si>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</si>
  <si>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</si>
  <si>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</si>
  <si>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</si>
  <si>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</si>
  <si>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</si>
  <si>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</si>
  <si>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</si>
  <si>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</si>
  <si>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</si>
  <si>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</si>
  <si>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</si>
  <si>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</si>
  <si>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</si>
  <si>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</si>
  <si>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</si>
  <si>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</si>
  <si>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</si>
  <si>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</si>
  <si>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</si>
  <si>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</si>
  <si>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</si>
  <si>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</si>
  <si>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</si>
  <si>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</si>
  <si>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</si>
  <si>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</si>
  <si>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</si>
  <si>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</si>
  <si>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</si>
  <si>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</si>
  <si>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</si>
  <si>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</si>
  <si>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</si>
  <si>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</si>
  <si>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</si>
  <si>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</si>
  <si>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</si>
  <si>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</si>
  <si>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</si>
  <si>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</si>
  <si>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</si>
  <si>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</si>
  <si>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</si>
  <si>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</si>
  <si>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</si>
  <si>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</si>
  <si>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</si>
  <si>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</si>
  <si>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</si>
  <si>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</si>
  <si>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</si>
  <si>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</si>
  <si>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</si>
  <si>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</si>
  <si>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</si>
  <si>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</si>
  <si>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</si>
  <si>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</si>
  <si>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</si>
  <si>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</si>
  <si>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</si>
  <si>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</si>
  <si>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</si>
  <si>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</si>
  <si>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</si>
  <si>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</si>
  <si>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</si>
  <si>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</si>
  <si>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</si>
  <si>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</si>
  <si>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</si>
  <si>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</si>
  <si>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</si>
  <si>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</si>
  <si>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</si>
  <si>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</si>
  <si>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</si>
  <si>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</si>
  <si>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</si>
  <si>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</si>
  <si>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</si>
  <si>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</si>
  <si>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</si>
  <si>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</si>
  <si>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</si>
  <si>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</si>
  <si>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</si>
  <si>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</si>
  <si>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</si>
  <si>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</si>
  <si>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</si>
  <si>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</si>
  <si>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</si>
  <si>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</si>
  <si>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</si>
  <si>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</si>
  <si>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</si>
  <si>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</si>
  <si>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</si>
  <si>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</si>
  <si>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</si>
  <si>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</si>
  <si>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</si>
  <si>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</si>
  <si>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</si>
  <si>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</si>
  <si>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</si>
  <si>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</si>
  <si>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</si>
  <si>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</si>
  <si>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</si>
  <si>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</si>
  <si>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</si>
  <si>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</si>
  <si>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</si>
  <si>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</si>
  <si>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</si>
  <si>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</si>
  <si>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</si>
  <si>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</si>
  <si>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</si>
  <si>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</si>
  <si>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</si>
  <si>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</si>
  <si>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</si>
  <si>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</si>
  <si>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</si>
  <si>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</si>
  <si>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</si>
  <si>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</si>
  <si>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</si>
  <si>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</si>
  <si>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</si>
  <si>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</si>
  <si>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</si>
  <si>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</si>
  <si>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</si>
  <si>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</si>
  <si>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</si>
  <si>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</si>
  <si>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</si>
  <si>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</si>
  <si>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</si>
  <si>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</si>
  <si>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</si>
  <si>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</si>
  <si>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</si>
  <si>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</si>
  <si>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</si>
  <si>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</si>
  <si>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</si>
  <si>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</si>
  <si>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</si>
  <si>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</si>
  <si>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</si>
  <si>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</si>
  <si>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</si>
  <si>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</si>
  <si>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</si>
  <si>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</si>
  <si>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</si>
  <si>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</si>
  <si>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</si>
  <si>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</si>
  <si>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</si>
  <si>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</si>
  <si>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</si>
  <si>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</si>
  <si>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</si>
  <si>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</si>
  <si>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</si>
  <si>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</si>
  <si>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</si>
  <si>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</si>
  <si>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</si>
  <si>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</si>
  <si>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</si>
  <si>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</si>
  <si>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</si>
  <si>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</si>
  <si>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</si>
  <si>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</si>
  <si>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</si>
  <si>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</si>
  <si>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</si>
  <si>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</si>
  <si>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</si>
  <si>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</si>
  <si>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</si>
  <si>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</si>
  <si>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</si>
  <si>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</si>
  <si>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</si>
  <si>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</si>
  <si>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</si>
  <si>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</si>
  <si>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</si>
  <si>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</si>
  <si>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</si>
  <si>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</si>
  <si>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</si>
  <si>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</si>
  <si>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</si>
  <si>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</si>
  <si>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</si>
  <si>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</si>
  <si>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</si>
  <si>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</si>
  <si>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</si>
  <si>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</si>
  <si>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</si>
  <si>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</si>
  <si>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</si>
  <si>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</si>
  <si>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</si>
  <si>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</si>
  <si>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</si>
  <si>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</si>
  <si>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</si>
  <si>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</si>
  <si>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</si>
  <si>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</si>
  <si>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</si>
  <si>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</si>
  <si>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</si>
  <si>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</si>
  <si>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</si>
  <si>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</si>
  <si>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</si>
  <si>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</si>
  <si>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</si>
  <si>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</si>
  <si>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</si>
  <si>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</si>
  <si>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</si>
  <si>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</si>
  <si>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</si>
  <si>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</si>
  <si>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</si>
  <si>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</si>
  <si>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</si>
  <si>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</si>
  <si>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</si>
  <si>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</si>
  <si>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</si>
  <si>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</si>
  <si>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</si>
  <si>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</si>
  <si>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</si>
  <si>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</si>
  <si>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</si>
  <si>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</si>
  <si>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</si>
  <si>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</si>
  <si>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</si>
  <si>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</si>
  <si>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</si>
  <si>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</si>
  <si>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</si>
  <si>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</si>
  <si>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</si>
  <si>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</si>
  <si>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</si>
  <si>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</si>
  <si>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</si>
  <si>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</si>
  <si>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</si>
  <si>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</si>
  <si>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</si>
  <si>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</si>
  <si>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</si>
  <si>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</si>
  <si>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</si>
  <si>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</si>
  <si>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</si>
  <si>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</si>
  <si>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</si>
  <si>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</si>
  <si>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</si>
  <si>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</si>
  <si>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</si>
  <si>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</si>
  <si>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</si>
  <si>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</si>
  <si>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</si>
  <si>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</si>
  <si>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</si>
  <si>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</si>
  <si>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</si>
  <si>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</si>
  <si>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</si>
  <si>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</si>
  <si>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</si>
  <si>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</si>
  <si>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</si>
  <si>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</si>
  <si>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</si>
  <si>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</si>
  <si>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</si>
  <si>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</si>
  <si>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</si>
  <si>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</si>
  <si>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</si>
  <si>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</si>
  <si>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</si>
  <si>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</si>
  <si>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</si>
  <si>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</si>
  <si>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</si>
  <si>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</si>
  <si>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</si>
  <si>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</si>
  <si>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</si>
  <si>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</si>
  <si>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</si>
  <si>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</si>
  <si>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</si>
  <si>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</si>
  <si>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</si>
  <si>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</si>
  <si>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</si>
  <si>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</si>
  <si>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</si>
  <si>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</si>
  <si>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</si>
  <si>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</si>
  <si>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</si>
  <si>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</si>
  <si>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</si>
  <si>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</si>
  <si>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</si>
  <si>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</si>
  <si>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</si>
  <si>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</si>
  <si>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</si>
  <si>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</si>
  <si>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</si>
  <si>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</si>
  <si>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</si>
  <si>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</si>
  <si>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</si>
  <si>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</si>
  <si>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</si>
  <si>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</si>
  <si>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</si>
  <si>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</si>
  <si>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</si>
  <si>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</si>
  <si>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</si>
  <si>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</si>
  <si>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</si>
  <si>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</si>
  <si>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</si>
  <si>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</si>
  <si>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</si>
  <si>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</si>
  <si>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</si>
  <si>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</si>
  <si>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</si>
  <si>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</si>
  <si>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</si>
  <si>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</si>
  <si>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</si>
  <si>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</si>
  <si>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</si>
  <si>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</si>
  <si>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</si>
  <si>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</si>
  <si>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</si>
  <si>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</si>
  <si>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</si>
  <si>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</si>
  <si>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</si>
  <si>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</si>
  <si>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</si>
  <si>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</si>
  <si>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</si>
  <si>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</si>
  <si>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</si>
  <si>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</si>
  <si>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</si>
  <si>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</si>
  <si>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</si>
  <si>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</si>
  <si>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</si>
  <si>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</si>
  <si>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</si>
  <si>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</si>
  <si>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</si>
  <si>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</si>
  <si>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</si>
  <si>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</si>
  <si>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</si>
  <si>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</si>
  <si>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</si>
  <si>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</si>
  <si>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</si>
  <si>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</si>
  <si>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</si>
  <si>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</si>
  <si>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</si>
  <si>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</si>
  <si>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</si>
  <si>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</si>
  <si>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</si>
  <si>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</si>
  <si>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</si>
  <si>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</si>
  <si>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</si>
  <si>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</si>
  <si>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</si>
  <si>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</si>
  <si>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</si>
  <si>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</si>
  <si>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</si>
  <si>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</si>
  <si>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</si>
  <si>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</si>
  <si>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</si>
  <si>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</si>
  <si>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</si>
  <si>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</si>
  <si>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</si>
  <si>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</si>
  <si>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</si>
  <si>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</si>
  <si>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</si>
  <si>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</si>
  <si>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</si>
  <si>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</si>
  <si>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</si>
  <si>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</si>
  <si>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</si>
  <si>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</si>
  <si>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</si>
  <si>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</si>
  <si>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</si>
  <si>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</si>
  <si>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</si>
  <si>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</si>
  <si>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</si>
  <si>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</si>
  <si>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</si>
  <si>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</si>
  <si>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</si>
  <si>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</si>
  <si>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</si>
  <si>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</si>
  <si>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</si>
  <si>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</si>
  <si>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</si>
  <si>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</si>
  <si>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</si>
  <si>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</si>
  <si>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</si>
  <si>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</si>
  <si>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</si>
  <si>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</si>
  <si>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</si>
  <si>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</si>
  <si>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</si>
  <si>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</si>
  <si>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</si>
  <si>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</si>
  <si>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</si>
  <si>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</si>
  <si>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</si>
  <si>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</si>
  <si>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</si>
  <si>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</si>
  <si>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</si>
  <si>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</si>
  <si>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</si>
  <si>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</si>
  <si>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</si>
  <si>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</si>
  <si>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</si>
  <si>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</si>
  <si>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</si>
  <si>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</si>
  <si>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</si>
  <si>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</si>
  <si>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</si>
  <si>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</si>
  <si>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</si>
  <si>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</si>
  <si>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</si>
  <si>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</si>
  <si>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</si>
  <si>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</si>
  <si>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</si>
  <si>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</si>
  <si>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</si>
  <si>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</si>
  <si>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</si>
  <si>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</si>
  <si>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</si>
  <si>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</si>
  <si>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</si>
  <si>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</si>
  <si>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</si>
  <si>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</si>
  <si>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</si>
  <si>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</si>
  <si>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</si>
  <si>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</si>
  <si>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</si>
  <si>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</si>
  <si>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</si>
  <si>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</si>
  <si>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</si>
  <si>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</si>
  <si>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</si>
  <si>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</si>
  <si>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</si>
  <si>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</si>
  <si>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</si>
  <si>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</si>
  <si>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</si>
  <si>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</si>
  <si>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</si>
  <si>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</si>
  <si>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</si>
  <si>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</si>
  <si>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</si>
  <si>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</si>
  <si>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</si>
  <si>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</si>
  <si>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</si>
  <si>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</si>
  <si>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</si>
  <si>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</si>
  <si>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</si>
  <si>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</si>
  <si>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</si>
  <si>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</si>
  <si>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</si>
  <si>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</si>
  <si>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</si>
  <si>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</si>
  <si>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</si>
  <si>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</si>
  <si>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</si>
  <si>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</si>
  <si>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</si>
  <si>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</si>
  <si>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</si>
  <si>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</si>
  <si>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</si>
  <si>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</si>
  <si>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</si>
  <si>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</si>
  <si>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</si>
  <si>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</si>
  <si>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</si>
  <si>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</si>
  <si>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</si>
  <si>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</si>
  <si>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</si>
  <si>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</si>
  <si>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</si>
  <si>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</si>
  <si>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</si>
  <si>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</si>
  <si>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</si>
  <si>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</si>
  <si>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</si>
  <si>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</si>
  <si>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</si>
  <si>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</si>
  <si>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</si>
  <si>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</si>
  <si>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</si>
  <si>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</si>
  <si>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</si>
  <si>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</si>
  <si>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</si>
  <si>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</si>
  <si>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</si>
  <si>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</si>
  <si>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</si>
  <si>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</si>
  <si>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</si>
  <si>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</si>
  <si>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</si>
  <si>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</si>
  <si>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</si>
  <si>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</si>
  <si>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</si>
  <si>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</si>
  <si>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</si>
  <si>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</si>
  <si>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</si>
  <si>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</si>
  <si>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</si>
  <si>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</si>
  <si>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</si>
  <si>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</si>
  <si>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</si>
  <si>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</si>
  <si>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</si>
  <si>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</si>
  <si>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</si>
  <si>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</si>
  <si>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</si>
  <si>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</si>
  <si>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</si>
  <si>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</si>
  <si>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</si>
  <si>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</si>
  <si>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</si>
  <si>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</si>
  <si>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</si>
  <si>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</si>
  <si>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</si>
  <si>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</si>
  <si>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</si>
  <si>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</si>
  <si>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</si>
  <si>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</si>
  <si>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</si>
  <si>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</si>
  <si>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</si>
  <si>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</si>
  <si>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</si>
  <si>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</si>
  <si>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</si>
  <si>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</si>
  <si>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</si>
  <si>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</si>
  <si>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</si>
  <si>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</si>
  <si>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</si>
  <si>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</si>
  <si>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</si>
  <si>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</si>
  <si>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</si>
  <si>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</si>
  <si>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</si>
  <si>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</si>
  <si>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</si>
  <si>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</si>
  <si>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</si>
  <si>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</si>
  <si>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</si>
  <si>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</si>
  <si>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</si>
  <si>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</si>
  <si>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</si>
  <si>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</si>
  <si>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</si>
  <si>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</si>
  <si>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</si>
  <si>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</si>
  <si>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</si>
  <si>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</si>
  <si>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</si>
  <si>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</si>
  <si>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</si>
  <si>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</si>
  <si>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</si>
  <si>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</si>
  <si>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</si>
  <si>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</si>
  <si>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</si>
  <si>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</si>
  <si>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</si>
  <si>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</si>
  <si>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</si>
  <si>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</si>
  <si>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</si>
  <si>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</si>
  <si>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</si>
  <si>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</si>
  <si>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</si>
  <si>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</si>
  <si>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</si>
  <si>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</si>
  <si>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</si>
  <si>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</si>
  <si>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</si>
  <si>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</si>
  <si>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</si>
  <si>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</si>
  <si>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</si>
  <si>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</si>
  <si>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</si>
  <si>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</si>
  <si>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</si>
  <si>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</si>
  <si>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</si>
  <si>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</si>
  <si>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</si>
  <si>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</si>
  <si>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</si>
  <si>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</si>
  <si>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</si>
  <si>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</si>
  <si>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</si>
  <si>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</si>
  <si>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</si>
  <si>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</si>
  <si>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</si>
  <si>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</si>
  <si>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</si>
  <si>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</si>
  <si>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</si>
  <si>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</si>
  <si>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</si>
  <si>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</si>
  <si>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</si>
  <si>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</si>
  <si>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</si>
  <si>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</si>
  <si>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</si>
  <si>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</si>
  <si>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</si>
  <si>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</si>
  <si>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</si>
  <si>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</si>
  <si>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</si>
  <si>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</si>
  <si>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</si>
  <si>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</si>
  <si>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</si>
  <si>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</si>
  <si>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</si>
  <si>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</si>
  <si>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</si>
  <si>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</si>
  <si>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</si>
  <si>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</si>
  <si>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</si>
  <si>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</si>
  <si>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</si>
  <si>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</si>
  <si>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</si>
  <si>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</si>
  <si>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</si>
  <si>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</si>
  <si>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</si>
  <si>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</si>
  <si>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</si>
  <si>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</si>
  <si>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</si>
  <si>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</si>
  <si>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</si>
  <si>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</si>
  <si>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</si>
  <si>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</si>
  <si>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</si>
  <si>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</si>
  <si>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</si>
  <si>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</si>
  <si>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</si>
  <si>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</si>
  <si>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</si>
  <si>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</si>
  <si>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</si>
  <si>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</si>
  <si>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</si>
  <si>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</si>
  <si>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</si>
  <si>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</si>
  <si>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</si>
  <si>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</si>
  <si>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</si>
  <si>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</si>
  <si>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</si>
  <si>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</si>
  <si>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</si>
  <si>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</si>
  <si>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</si>
  <si>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</si>
  <si>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</si>
  <si>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</si>
  <si>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</si>
  <si>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</si>
  <si>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</si>
  <si>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</si>
  <si>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</si>
  <si>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</si>
  <si>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</si>
  <si>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</si>
  <si>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</si>
  <si>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</si>
  <si>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</si>
  <si>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</si>
  <si>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</si>
  <si>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</si>
  <si>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</si>
  <si>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</si>
  <si>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</si>
  <si>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</si>
  <si>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</si>
  <si>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</si>
  <si>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</si>
  <si>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</si>
  <si>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</si>
  <si>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</si>
  <si>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</si>
  <si>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</si>
  <si>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</si>
  <si>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</si>
  <si>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</si>
  <si>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</si>
  <si>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</si>
  <si>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</si>
  <si>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</si>
  <si>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</si>
  <si>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</si>
  <si>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</si>
  <si>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</si>
  <si>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</si>
  <si>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</si>
  <si>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</si>
  <si>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</si>
  <si>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</si>
  <si>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</si>
  <si>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</si>
  <si>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</si>
  <si>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</si>
  <si>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</si>
  <si>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</si>
  <si>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</si>
  <si>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</si>
  <si>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</si>
  <si>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</si>
  <si>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</si>
  <si>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</si>
  <si>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</si>
  <si>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</si>
  <si>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</si>
  <si>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</si>
  <si>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</si>
  <si>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</si>
  <si>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</si>
  <si>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</si>
  <si>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</si>
  <si>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</si>
  <si>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</si>
  <si>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</si>
  <si>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</si>
  <si>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</si>
  <si>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</si>
  <si>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</si>
  <si>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</si>
  <si>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</si>
  <si>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</si>
  <si>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</si>
  <si>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</si>
  <si>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</si>
  <si>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</si>
  <si>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</si>
  <si>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</si>
  <si>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</si>
  <si>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</si>
  <si>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</si>
  <si>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</si>
  <si>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</si>
  <si>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</si>
  <si>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</si>
  <si>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</si>
  <si>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</si>
  <si>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</si>
  <si>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</si>
  <si>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</si>
  <si>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</si>
  <si>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</si>
  <si>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</si>
  <si>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</si>
  <si>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</si>
  <si>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</si>
  <si>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</si>
  <si>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</si>
  <si>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</si>
  <si>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</si>
  <si>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</si>
  <si>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</si>
  <si>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</si>
  <si>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</si>
  <si>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</si>
  <si>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</si>
  <si>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</si>
  <si>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</si>
  <si>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</si>
  <si>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</si>
  <si>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</si>
  <si>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</si>
  <si>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</si>
  <si>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</si>
  <si>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</si>
  <si>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</si>
  <si>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</si>
  <si>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</si>
  <si>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</si>
  <si>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</si>
  <si>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</si>
  <si>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</si>
  <si>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</si>
  <si>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</si>
  <si>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</si>
  <si>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</si>
  <si>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</si>
  <si>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</si>
  <si>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</si>
  <si>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</si>
  <si>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</si>
  <si>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</si>
  <si>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</si>
  <si>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</si>
  <si>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</si>
  <si>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</si>
  <si>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</si>
  <si>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</si>
  <si>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</si>
  <si>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</si>
  <si>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</si>
  <si>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</si>
  <si>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</si>
  <si>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</si>
  <si>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</si>
  <si>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</si>
  <si>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</si>
  <si>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</si>
  <si>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</si>
  <si>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</si>
  <si>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</si>
  <si>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</si>
  <si>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</si>
  <si>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</si>
  <si>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</si>
  <si>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</si>
  <si>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</si>
  <si>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</si>
  <si>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</si>
  <si>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</si>
  <si>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</si>
  <si>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</si>
  <si>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</si>
  <si>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</si>
  <si>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</si>
  <si>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</si>
  <si>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</si>
  <si>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</si>
  <si>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</si>
  <si>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</si>
  <si>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</si>
  <si>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</si>
  <si>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</si>
  <si>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</si>
  <si>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</si>
  <si>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</si>
  <si>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</si>
  <si>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</si>
  <si>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</si>
  <si>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</si>
  <si>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</si>
  <si>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</si>
  <si>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</si>
  <si>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</si>
  <si>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</si>
  <si>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</si>
  <si>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</si>
  <si>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</si>
  <si>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</si>
  <si>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</si>
  <si>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</si>
  <si>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</si>
  <si>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</si>
  <si>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</si>
  <si>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</si>
  <si>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</si>
  <si>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</si>
  <si>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</si>
  <si>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</si>
  <si>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</si>
  <si>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</si>
  <si>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</si>
  <si>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</si>
  <si>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</si>
  <si>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</si>
  <si>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</si>
  <si>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</si>
  <si>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</si>
  <si>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</si>
  <si>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</si>
  <si>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</si>
  <si>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</si>
  <si>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</si>
  <si>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</si>
  <si>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</si>
  <si>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</si>
  <si>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</si>
  <si>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</si>
  <si>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</si>
  <si>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</si>
  <si>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</si>
  <si>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</si>
  <si>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</si>
  <si>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</si>
  <si>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</si>
  <si>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</si>
  <si>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</si>
  <si>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</si>
  <si>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</si>
  <si>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</si>
  <si>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</si>
  <si>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</si>
  <si>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</si>
  <si>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</si>
  <si>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</si>
  <si>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</si>
  <si>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</si>
  <si>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</si>
  <si>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</si>
  <si>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</si>
  <si>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</si>
  <si>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</si>
  <si>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</si>
  <si>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</si>
  <si>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</si>
  <si>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</si>
  <si>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</si>
  <si>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</si>
  <si>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</si>
  <si>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</si>
  <si>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</si>
  <si>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</si>
  <si>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</si>
  <si>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</si>
  <si>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</si>
  <si>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</si>
  <si>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</si>
  <si>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</si>
  <si>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</si>
  <si>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</si>
  <si>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</si>
  <si>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</si>
  <si>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</si>
  <si>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</si>
  <si>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</si>
  <si>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</si>
  <si>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</si>
  <si>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</si>
  <si>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</si>
  <si>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</si>
  <si>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</si>
  <si>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</si>
  <si>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</si>
  <si>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</si>
  <si>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</si>
  <si>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</si>
  <si>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</si>
  <si>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</si>
  <si>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</si>
  <si>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</si>
  <si>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</si>
  <si>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</si>
  <si>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</si>
  <si>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</si>
  <si>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</si>
  <si>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</si>
  <si>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</si>
  <si>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</si>
  <si>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</si>
  <si>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</si>
  <si>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</si>
  <si>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</si>
  <si>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</si>
  <si>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</si>
  <si>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</si>
  <si>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</si>
  <si>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</si>
  <si>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</si>
  <si>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</si>
  <si>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</si>
  <si>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</si>
  <si>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</si>
  <si>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</si>
  <si>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</si>
  <si>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</si>
  <si>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</si>
  <si>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</si>
  <si>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</si>
  <si>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</si>
  <si>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</si>
  <si>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</si>
  <si>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</si>
  <si>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</si>
  <si>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</si>
  <si>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</si>
  <si>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</si>
  <si>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</si>
  <si>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</si>
  <si>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</si>
  <si>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</si>
  <si>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</si>
  <si>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</si>
  <si>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</si>
  <si>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</si>
  <si>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</si>
  <si>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</si>
  <si>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</si>
  <si>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</si>
  <si>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</si>
  <si>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</si>
  <si>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</si>
  <si>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</si>
  <si>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</si>
  <si>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</si>
  <si>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</si>
  <si>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</si>
  <si>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</si>
  <si>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</si>
  <si>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</si>
  <si>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</si>
  <si>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</si>
  <si>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</si>
  <si>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</si>
  <si>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</si>
  <si>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</si>
  <si>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</si>
  <si>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</si>
  <si>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</si>
  <si>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</si>
  <si>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</si>
  <si>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</si>
  <si>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</si>
  <si>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</si>
  <si>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</si>
  <si>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</si>
  <si>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</si>
  <si>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</si>
  <si>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</si>
  <si>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</si>
  <si>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</si>
  <si>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</si>
  <si>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</si>
  <si>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</si>
  <si>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</si>
  <si>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</si>
  <si>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</si>
  <si>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</si>
  <si>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</si>
  <si>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</si>
  <si>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</si>
  <si>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</si>
  <si>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</si>
  <si>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</si>
  <si>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</si>
  <si>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</si>
  <si>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</si>
  <si>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</si>
  <si>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</si>
  <si>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</si>
  <si>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</si>
  <si>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</si>
  <si>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</si>
  <si>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</si>
  <si>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</si>
  <si>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</si>
  <si>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</si>
  <si>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</si>
  <si>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</si>
  <si>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</si>
  <si>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</si>
  <si>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</si>
  <si>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</si>
  <si>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</si>
  <si>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</si>
  <si>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</si>
  <si>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</si>
  <si>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</si>
  <si>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</si>
  <si>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</si>
  <si>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</si>
  <si>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</si>
  <si>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</si>
  <si>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</si>
  <si>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</si>
  <si>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</si>
  <si>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</si>
  <si>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</si>
  <si>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</si>
  <si>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</si>
  <si>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</si>
  <si>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</si>
  <si>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</si>
  <si>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</si>
  <si>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</si>
  <si>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</si>
  <si>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</si>
  <si>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</si>
  <si>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</si>
  <si>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</si>
  <si>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</si>
  <si>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</si>
  <si>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</si>
  <si>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</si>
  <si>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</si>
  <si>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</si>
  <si>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</si>
  <si>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</si>
  <si>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</si>
  <si>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</si>
  <si>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</si>
  <si>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</si>
  <si>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</si>
  <si>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</si>
  <si>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</si>
  <si>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</si>
  <si>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</si>
  <si>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</si>
  <si>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</si>
  <si>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</si>
  <si>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</si>
  <si>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</si>
  <si>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</si>
  <si>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</si>
  <si>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</si>
  <si>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</si>
  <si>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</si>
  <si>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</si>
  <si>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</si>
  <si>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</si>
  <si>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</si>
  <si>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</si>
  <si>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</si>
  <si>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</si>
  <si>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</si>
  <si>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</si>
  <si>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</si>
  <si>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</si>
  <si>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</si>
  <si>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</si>
  <si>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</si>
  <si>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</si>
  <si>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</si>
  <si>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</si>
  <si>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</si>
  <si>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</si>
  <si>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</si>
  <si>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</si>
  <si>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</si>
  <si>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</si>
  <si>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</si>
  <si>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</si>
  <si>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</si>
  <si>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</si>
  <si>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</si>
  <si>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</si>
  <si>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</si>
  <si>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</si>
  <si>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</si>
  <si>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</si>
  <si>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</si>
  <si>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</si>
  <si>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</si>
  <si>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</si>
  <si>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</si>
  <si>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</si>
  <si>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</si>
  <si>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</si>
  <si>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</si>
  <si>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</si>
  <si>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</si>
  <si>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</si>
  <si>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</si>
  <si>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</si>
  <si>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</si>
  <si>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</si>
  <si>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</si>
  <si>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</si>
  <si>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</si>
  <si>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</si>
  <si>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</si>
  <si>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</si>
  <si>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</si>
  <si>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</si>
  <si>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</si>
  <si>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</si>
  <si>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</si>
  <si>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</si>
  <si>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</si>
  <si>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</si>
  <si>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</si>
  <si>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</si>
  <si>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</si>
  <si>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</si>
  <si>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</si>
  <si>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</si>
  <si>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</si>
  <si>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</si>
  <si>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</si>
  <si>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</si>
  <si>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</si>
  <si>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</si>
  <si>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</si>
  <si>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</si>
  <si>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</si>
  <si>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</si>
  <si>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</si>
  <si>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</si>
  <si>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</si>
  <si>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</si>
  <si>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</si>
  <si>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</si>
  <si>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</si>
  <si>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</si>
  <si>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</si>
  <si>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</si>
  <si>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</si>
  <si>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</si>
  <si>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</si>
  <si>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</si>
  <si>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</si>
  <si>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</si>
  <si>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</si>
  <si>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</si>
  <si>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</si>
  <si>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</si>
  <si>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</si>
  <si>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</si>
  <si>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</si>
  <si>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</si>
  <si>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</si>
  <si>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</si>
  <si>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</si>
  <si>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</si>
  <si>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</si>
  <si>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</si>
  <si>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</si>
  <si>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</si>
  <si>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</si>
  <si>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</si>
  <si>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</si>
  <si>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</si>
  <si>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</si>
  <si>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</si>
  <si>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</si>
  <si>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</si>
  <si>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</si>
  <si>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</si>
  <si>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</si>
  <si>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</si>
  <si>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</si>
  <si>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</si>
  <si>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</si>
  <si>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</si>
  <si>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</si>
  <si>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</si>
  <si>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</si>
  <si>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</si>
  <si>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</si>
  <si>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</si>
  <si>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</si>
  <si>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</si>
  <si>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</si>
  <si>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</si>
  <si>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</si>
  <si>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</si>
  <si>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</si>
  <si>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</si>
  <si>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</si>
  <si>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</si>
  <si>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</si>
  <si>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</si>
  <si>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</si>
  <si>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</si>
  <si>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</si>
  <si>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</si>
  <si>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</si>
  <si>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</si>
  <si>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</si>
  <si>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</si>
  <si>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</si>
  <si>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</si>
  <si>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</si>
  <si>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</si>
  <si>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</si>
  <si>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</si>
  <si>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</si>
  <si>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</si>
  <si>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</si>
  <si>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</si>
  <si>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</si>
  <si>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</si>
  <si>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</si>
  <si>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</si>
  <si>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</si>
  <si>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</si>
  <si>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</si>
  <si>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</si>
  <si>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</si>
  <si>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</si>
  <si>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</si>
  <si>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</si>
  <si>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</si>
  <si>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</si>
  <si>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</si>
  <si>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</si>
  <si>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</si>
  <si>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</si>
  <si>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</si>
  <si>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</si>
  <si>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</si>
  <si>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</si>
  <si>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</si>
  <si>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</si>
  <si>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</si>
  <si>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</si>
  <si>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</si>
  <si>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</si>
  <si>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</si>
  <si>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</si>
  <si>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</si>
  <si>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</si>
  <si>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</si>
  <si>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</si>
  <si>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</si>
  <si>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</si>
  <si>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</si>
  <si>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</si>
  <si>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</si>
  <si>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</si>
  <si>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</si>
  <si>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</si>
  <si>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</si>
  <si>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</si>
  <si>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</si>
  <si>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</si>
  <si>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</si>
  <si>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</si>
  <si>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</si>
  <si>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</si>
  <si>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</si>
  <si>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</si>
  <si>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</si>
  <si>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</si>
  <si>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</si>
  <si>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</si>
  <si>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</si>
  <si>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</si>
  <si>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</si>
  <si>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</si>
  <si>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</si>
  <si>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</si>
  <si>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</si>
  <si>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</si>
  <si>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</si>
  <si>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</si>
  <si>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</si>
  <si>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</si>
  <si>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</si>
  <si>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</si>
  <si>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</si>
  <si>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</si>
  <si>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</si>
  <si>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</si>
  <si>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</si>
  <si>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</si>
  <si>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</si>
  <si>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</si>
  <si>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</si>
  <si>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</si>
  <si>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</si>
  <si>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</si>
  <si>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</si>
  <si>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</si>
  <si>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</si>
  <si>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</si>
  <si>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</si>
  <si>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</si>
  <si>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</si>
  <si>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</si>
  <si>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</si>
  <si>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</si>
  <si>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</si>
  <si>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</si>
  <si>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</si>
  <si>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</si>
  <si>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</si>
  <si>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</si>
  <si>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</si>
  <si>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</si>
  <si>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</si>
  <si>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</si>
  <si>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</si>
  <si>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</si>
  <si>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</si>
  <si>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</si>
  <si>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Avg.Rating</t>
  </si>
  <si>
    <t>Row Labels</t>
  </si>
  <si>
    <t>Grand Total</t>
  </si>
  <si>
    <t>Unknown</t>
  </si>
  <si>
    <t>Male</t>
  </si>
  <si>
    <t>Female</t>
  </si>
  <si>
    <t>Other</t>
  </si>
  <si>
    <t>Column Labels</t>
  </si>
  <si>
    <t>6 to 10</t>
  </si>
  <si>
    <t>More than 10</t>
  </si>
  <si>
    <t>Map Chart Stuff(Qty)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</si>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</sst>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Gill Sans MT"/>
      <family val="2"/>
      <scheme val="minor"/>
    </font>
    <font>
      <b/>
      <sz val="11"/>
      <color theme="1"/>
      <name val="Gill Sans MT"/>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78A88A"/>
      <color rgb="FF7CA4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project.xlsx]Sheet1!pvttrend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Last</a:t>
            </a:r>
            <a:r>
              <a:rPr lang="en-IN" sz="1800" b="1" baseline="0">
                <a:solidFill>
                  <a:schemeClr val="tx1"/>
                </a:solidFill>
              </a:rPr>
              <a:t> 13 week Trends-Qty&amp; Amount</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Sheet1!$D$16</c:f>
              <c:strCache>
                <c:ptCount val="1"/>
                <c:pt idx="0">
                  <c:v>Sum of Quantity</c:v>
                </c:pt>
              </c:strCache>
            </c:strRef>
          </c:tx>
          <c:spPr>
            <a:ln w="28575" cap="rnd">
              <a:solidFill>
                <a:schemeClr val="accent1"/>
              </a:solidFill>
              <a:round/>
            </a:ln>
            <a:effectLst/>
          </c:spPr>
          <c:marker>
            <c:symbol val="none"/>
          </c:marker>
          <c:cat>
            <c:strRef>
              <c:f>Sheet1!$C$17:$C$30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Sheet1!$D$17:$D$30</c:f>
              <c:numCache>
                <c:formatCode>General</c:formatCode>
                <c:ptCount val="13"/>
                <c:pt idx="0">
                  <c:v>10</c:v>
                </c:pt>
                <c:pt idx="1">
                  <c:v>7</c:v>
                </c:pt>
                <c:pt idx="2">
                  <c:v>23</c:v>
                </c:pt>
                <c:pt idx="3">
                  <c:v>38</c:v>
                </c:pt>
                <c:pt idx="4">
                  <c:v>9</c:v>
                </c:pt>
                <c:pt idx="5">
                  <c:v>18</c:v>
                </c:pt>
                <c:pt idx="6">
                  <c:v>18</c:v>
                </c:pt>
                <c:pt idx="7">
                  <c:v>13</c:v>
                </c:pt>
                <c:pt idx="8">
                  <c:v>20</c:v>
                </c:pt>
                <c:pt idx="9">
                  <c:v>58</c:v>
                </c:pt>
                <c:pt idx="10">
                  <c:v>63</c:v>
                </c:pt>
                <c:pt idx="11">
                  <c:v>25</c:v>
                </c:pt>
                <c:pt idx="12">
                  <c:v>15</c:v>
                </c:pt>
              </c:numCache>
            </c:numRef>
          </c:val>
          <c:smooth val="0"/>
          <c:extLst>
            <c:ext xmlns:c16="http://schemas.microsoft.com/office/drawing/2014/chart" uri="{C3380CC4-5D6E-409C-BE32-E72D297353CC}">
              <c16:uniqueId val="{00000000-0239-44B2-8B6D-191F0BC38857}"/>
            </c:ext>
          </c:extLst>
        </c:ser>
        <c:dLbls>
          <c:showLegendKey val="0"/>
          <c:showVal val="0"/>
          <c:showCatName val="0"/>
          <c:showSerName val="0"/>
          <c:showPercent val="0"/>
          <c:showBubbleSize val="0"/>
        </c:dLbls>
        <c:marker val="1"/>
        <c:smooth val="0"/>
        <c:axId val="613456944"/>
        <c:axId val="756875536"/>
      </c:lineChart>
      <c:lineChart>
        <c:grouping val="standard"/>
        <c:varyColors val="0"/>
        <c:ser>
          <c:idx val="1"/>
          <c:order val="1"/>
          <c:tx>
            <c:strRef>
              <c:f>Sheet1!$E$16</c:f>
              <c:strCache>
                <c:ptCount val="1"/>
                <c:pt idx="0">
                  <c:v>Sum of Amount</c:v>
                </c:pt>
              </c:strCache>
            </c:strRef>
          </c:tx>
          <c:spPr>
            <a:ln w="28575" cap="rnd">
              <a:solidFill>
                <a:schemeClr val="accent2"/>
              </a:solidFill>
              <a:round/>
            </a:ln>
            <a:effectLst/>
          </c:spPr>
          <c:marker>
            <c:symbol val="none"/>
          </c:marker>
          <c:cat>
            <c:strRef>
              <c:f>Sheet1!$C$17:$C$30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Sheet1!$E$17:$E$30</c:f>
              <c:numCache>
                <c:formatCode>"₹"\ #,##0</c:formatCode>
                <c:ptCount val="13"/>
                <c:pt idx="0">
                  <c:v>307.79999999999995</c:v>
                </c:pt>
                <c:pt idx="1">
                  <c:v>446.59999999999997</c:v>
                </c:pt>
                <c:pt idx="2">
                  <c:v>1626.5</c:v>
                </c:pt>
                <c:pt idx="3">
                  <c:v>1603.8999999999999</c:v>
                </c:pt>
                <c:pt idx="4">
                  <c:v>876.3</c:v>
                </c:pt>
                <c:pt idx="5">
                  <c:v>700.3</c:v>
                </c:pt>
                <c:pt idx="6">
                  <c:v>809.1</c:v>
                </c:pt>
                <c:pt idx="7">
                  <c:v>761</c:v>
                </c:pt>
                <c:pt idx="8">
                  <c:v>1153.8</c:v>
                </c:pt>
                <c:pt idx="9">
                  <c:v>3760.1000000000004</c:v>
                </c:pt>
                <c:pt idx="10">
                  <c:v>2579.3000000000002</c:v>
                </c:pt>
                <c:pt idx="11">
                  <c:v>1944.3</c:v>
                </c:pt>
                <c:pt idx="12">
                  <c:v>465.09999999999997</c:v>
                </c:pt>
              </c:numCache>
            </c:numRef>
          </c:val>
          <c:smooth val="0"/>
          <c:extLst>
            <c:ext xmlns:c16="http://schemas.microsoft.com/office/drawing/2014/chart" uri="{C3380CC4-5D6E-409C-BE32-E72D297353CC}">
              <c16:uniqueId val="{00000001-0239-44B2-8B6D-191F0BC38857}"/>
            </c:ext>
          </c:extLst>
        </c:ser>
        <c:dLbls>
          <c:showLegendKey val="0"/>
          <c:showVal val="0"/>
          <c:showCatName val="0"/>
          <c:showSerName val="0"/>
          <c:showPercent val="0"/>
          <c:showBubbleSize val="0"/>
        </c:dLbls>
        <c:marker val="1"/>
        <c:smooth val="0"/>
        <c:axId val="839697552"/>
        <c:axId val="756939376"/>
      </c:lineChart>
      <c:catAx>
        <c:axId val="613456944"/>
        <c:scaling>
          <c:orientation val="minMax"/>
        </c:scaling>
        <c:delete val="0"/>
        <c:axPos val="b"/>
        <c:numFmt formatCode="General" sourceLinked="1"/>
        <c:majorTickMark val="none"/>
        <c:minorTickMark val="none"/>
        <c:tickLblPos val="nextTo"/>
        <c:spPr>
          <a:noFill/>
          <a:ln w="9525" cap="flat" cmpd="sng" algn="ctr">
            <a:noFill/>
            <a:round/>
          </a:ln>
          <a:effectLst>
            <a:outerShdw blurRad="50800" dist="50800" dir="5400000" algn="ctr" rotWithShape="0">
              <a:schemeClr val="bg1"/>
            </a:outerShdw>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756875536"/>
        <c:crosses val="autoZero"/>
        <c:auto val="1"/>
        <c:lblAlgn val="ctr"/>
        <c:lblOffset val="100"/>
        <c:noMultiLvlLbl val="0"/>
      </c:catAx>
      <c:valAx>
        <c:axId val="75687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613456944"/>
        <c:crosses val="autoZero"/>
        <c:crossBetween val="between"/>
      </c:valAx>
      <c:valAx>
        <c:axId val="756939376"/>
        <c:scaling>
          <c:orientation val="minMax"/>
        </c:scaling>
        <c:delete val="0"/>
        <c:axPos val="r"/>
        <c:numFmt formatCode="&quot;₹&quot;\ #,##0" sourceLinked="1"/>
        <c:majorTickMark val="out"/>
        <c:minorTickMark val="none"/>
        <c:tickLblPos val="nextTo"/>
        <c:spPr>
          <a:noFill/>
          <a:ln w="6350">
            <a:solidFill>
              <a:schemeClr val="tx1">
                <a:lumMod val="95000"/>
                <a:lumOff val="5000"/>
                <a:alpha val="98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97552"/>
        <c:crosses val="max"/>
        <c:crossBetween val="between"/>
      </c:valAx>
      <c:catAx>
        <c:axId val="839697552"/>
        <c:scaling>
          <c:orientation val="minMax"/>
        </c:scaling>
        <c:delete val="1"/>
        <c:axPos val="b"/>
        <c:numFmt formatCode="General" sourceLinked="1"/>
        <c:majorTickMark val="out"/>
        <c:minorTickMark val="none"/>
        <c:tickLblPos val="nextTo"/>
        <c:crossAx val="7569393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project.xlsx]Sheet1!pvtproduct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lumMod val="95000"/>
                    <a:lumOff val="5000"/>
                  </a:schemeClr>
                </a:solidFill>
              </a:rPr>
              <a:t>How</a:t>
            </a:r>
            <a:r>
              <a:rPr lang="en-IN" sz="1800" b="1" baseline="0">
                <a:solidFill>
                  <a:schemeClr val="tx1">
                    <a:lumMod val="95000"/>
                    <a:lumOff val="5000"/>
                  </a:schemeClr>
                </a:solidFill>
              </a:rPr>
              <a:t> many they buy?</a:t>
            </a:r>
            <a:endParaRPr lang="en-IN"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Sheet1!$G$33:$G$40</c:f>
              <c:strCache>
                <c:ptCount val="7"/>
                <c:pt idx="0">
                  <c:v>1</c:v>
                </c:pt>
                <c:pt idx="1">
                  <c:v>2</c:v>
                </c:pt>
                <c:pt idx="2">
                  <c:v>3</c:v>
                </c:pt>
                <c:pt idx="3">
                  <c:v>4</c:v>
                </c:pt>
                <c:pt idx="4">
                  <c:v>5</c:v>
                </c:pt>
                <c:pt idx="5">
                  <c:v>6 to 10</c:v>
                </c:pt>
                <c:pt idx="6">
                  <c:v>More than 10</c:v>
                </c:pt>
              </c:strCache>
            </c:strRef>
          </c:cat>
          <c:val>
            <c:numRef>
              <c:f>Sheet1!$H$33:$H$40</c:f>
              <c:numCache>
                <c:formatCode>General</c:formatCode>
                <c:ptCount val="7"/>
                <c:pt idx="0">
                  <c:v>19</c:v>
                </c:pt>
                <c:pt idx="1">
                  <c:v>8</c:v>
                </c:pt>
                <c:pt idx="2">
                  <c:v>15</c:v>
                </c:pt>
                <c:pt idx="3">
                  <c:v>9</c:v>
                </c:pt>
                <c:pt idx="4">
                  <c:v>5</c:v>
                </c:pt>
                <c:pt idx="5">
                  <c:v>14</c:v>
                </c:pt>
                <c:pt idx="6">
                  <c:v>5</c:v>
                </c:pt>
              </c:numCache>
            </c:numRef>
          </c:val>
          <c:extLst>
            <c:ext xmlns:c16="http://schemas.microsoft.com/office/drawing/2014/chart" uri="{C3380CC4-5D6E-409C-BE32-E72D297353CC}">
              <c16:uniqueId val="{00000000-7CF8-4863-ABF8-7C3DD3D04AC0}"/>
            </c:ext>
          </c:extLst>
        </c:ser>
        <c:dLbls>
          <c:dLblPos val="outEnd"/>
          <c:showLegendKey val="0"/>
          <c:showVal val="1"/>
          <c:showCatName val="0"/>
          <c:showSerName val="0"/>
          <c:showPercent val="0"/>
          <c:showBubbleSize val="0"/>
        </c:dLbls>
        <c:gapWidth val="219"/>
        <c:overlap val="-27"/>
        <c:axId val="248331984"/>
        <c:axId val="756867376"/>
      </c:barChart>
      <c:catAx>
        <c:axId val="248331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867376"/>
        <c:crosses val="autoZero"/>
        <c:auto val="1"/>
        <c:lblAlgn val="ctr"/>
        <c:lblOffset val="100"/>
        <c:noMultiLvlLbl val="0"/>
      </c:catAx>
      <c:valAx>
        <c:axId val="7568673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3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project.xlsx]Sheet1!PivotTable5</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600" b="1">
                <a:solidFill>
                  <a:schemeClr val="tx1"/>
                </a:solidFill>
              </a:rPr>
              <a:t>Which products are Popular? breakdown by Gender</a:t>
            </a:r>
          </a:p>
        </c:rich>
      </c:tx>
      <c:layout>
        <c:manualLayout>
          <c:xMode val="edge"/>
          <c:yMode val="edge"/>
          <c:x val="0.18459699658473713"/>
          <c:y val="4.275431679477112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17375588699212E-2"/>
          <c:y val="0.17773330447423441"/>
          <c:w val="0.65433183919968563"/>
          <c:h val="0.78689079367189463"/>
        </c:manualLayout>
      </c:layout>
      <c:barChart>
        <c:barDir val="bar"/>
        <c:grouping val="stacked"/>
        <c:varyColors val="0"/>
        <c:ser>
          <c:idx val="0"/>
          <c:order val="0"/>
          <c:tx>
            <c:strRef>
              <c:f>Sheet1!$N$31:$N$32</c:f>
              <c:strCache>
                <c:ptCount val="1"/>
              </c:strCache>
            </c:strRef>
          </c:tx>
          <c:spPr>
            <a:solidFill>
              <a:schemeClr val="accent1"/>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Sheet1!$N$33:$N$53</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316A-474D-B106-88C45F64DDA3}"/>
            </c:ext>
          </c:extLst>
        </c:ser>
        <c:ser>
          <c:idx val="1"/>
          <c:order val="1"/>
          <c:tx>
            <c:strRef>
              <c:f>Sheet1!$O$31:$O$32</c:f>
              <c:strCache>
                <c:ptCount val="1"/>
                <c:pt idx="0">
                  <c:v>F</c:v>
                </c:pt>
              </c:strCache>
            </c:strRef>
          </c:tx>
          <c:spPr>
            <a:solidFill>
              <a:schemeClr val="accent2"/>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Sheet1!$O$33:$O$53</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316A-474D-B106-88C45F64DDA3}"/>
            </c:ext>
          </c:extLst>
        </c:ser>
        <c:ser>
          <c:idx val="2"/>
          <c:order val="2"/>
          <c:tx>
            <c:strRef>
              <c:f>Sheet1!$P$31:$P$32</c:f>
              <c:strCache>
                <c:ptCount val="1"/>
                <c:pt idx="0">
                  <c:v>M</c:v>
                </c:pt>
              </c:strCache>
            </c:strRef>
          </c:tx>
          <c:spPr>
            <a:solidFill>
              <a:schemeClr val="accent3"/>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Sheet1!$P$33:$P$53</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316A-474D-B106-88C45F64DDA3}"/>
            </c:ext>
          </c:extLst>
        </c:ser>
        <c:ser>
          <c:idx val="3"/>
          <c:order val="3"/>
          <c:tx>
            <c:strRef>
              <c:f>Sheet1!$Q$31:$Q$32</c:f>
              <c:strCache>
                <c:ptCount val="1"/>
                <c:pt idx="0">
                  <c:v>O</c:v>
                </c:pt>
              </c:strCache>
            </c:strRef>
          </c:tx>
          <c:spPr>
            <a:solidFill>
              <a:schemeClr val="accent4"/>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Sheet1!$Q$33:$Q$53</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316A-474D-B106-88C45F64DDA3}"/>
            </c:ext>
          </c:extLst>
        </c:ser>
        <c:dLbls>
          <c:showLegendKey val="0"/>
          <c:showVal val="0"/>
          <c:showCatName val="0"/>
          <c:showSerName val="0"/>
          <c:showPercent val="0"/>
          <c:showBubbleSize val="0"/>
        </c:dLbls>
        <c:gapWidth val="150"/>
        <c:overlap val="100"/>
        <c:axId val="833937104"/>
        <c:axId val="756924016"/>
      </c:barChart>
      <c:catAx>
        <c:axId val="833937104"/>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rial Narrow" panose="020B0606020202030204" pitchFamily="34" charset="0"/>
                <a:ea typeface="+mn-ea"/>
                <a:cs typeface="Times New Roman" panose="02020603050405020304" pitchFamily="18" charset="0"/>
              </a:defRPr>
            </a:pPr>
            <a:endParaRPr lang="en-US"/>
          </a:p>
        </c:txPr>
        <c:crossAx val="756924016"/>
        <c:crosses val="autoZero"/>
        <c:auto val="1"/>
        <c:lblAlgn val="ctr"/>
        <c:lblOffset val="100"/>
        <c:noMultiLvlLbl val="0"/>
      </c:catAx>
      <c:valAx>
        <c:axId val="75692401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3393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Sheet1!$V$31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2F-4A09-8C8D-B17FD22F04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2F-4A09-8C8D-B17FD22F04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2F-4A09-8C8D-B17FD22F04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2F-4A09-8C8D-B17FD22F04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Sheet1!$U$32:$U$36</c:f>
              <c:strCache>
                <c:ptCount val="4"/>
                <c:pt idx="1">
                  <c:v>F</c:v>
                </c:pt>
                <c:pt idx="2">
                  <c:v>M</c:v>
                </c:pt>
                <c:pt idx="3">
                  <c:v>O</c:v>
                </c:pt>
              </c:strCache>
            </c:strRef>
          </c:cat>
          <c:val>
            <c:numRef>
              <c:f>Sheet1!$V$32:$V$36</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232F-4A09-8C8D-B17FD22F04B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project.xlsx]Sheet1!PivotTable13</c:name>
    <c:fmtId val="10"/>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800" b="1" i="0" u="none" strike="noStrike" kern="1200" baseline="0">
                <a:solidFill>
                  <a:schemeClr val="tx1">
                    <a:lumMod val="95000"/>
                    <a:lumOff val="5000"/>
                  </a:schemeClr>
                </a:solidFill>
                <a:latin typeface="+mn-lt"/>
                <a:ea typeface="+mn-ea"/>
                <a:cs typeface="+mn-cs"/>
              </a:rPr>
              <a:t>How long we take to ship</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Sheet1!$D$56</c:f>
              <c:strCache>
                <c:ptCount val="1"/>
                <c:pt idx="0">
                  <c:v>Total</c:v>
                </c:pt>
              </c:strCache>
            </c:strRef>
          </c:tx>
          <c:spPr>
            <a:solidFill>
              <a:schemeClr val="accent1"/>
            </a:solidFill>
            <a:ln>
              <a:noFill/>
            </a:ln>
            <a:effectLst/>
          </c:spPr>
          <c:invertIfNegative val="0"/>
          <c:cat>
            <c:strRef>
              <c:f>Sheet1!$C$57:$C$67</c:f>
              <c:strCache>
                <c:ptCount val="10"/>
                <c:pt idx="0">
                  <c:v>0</c:v>
                </c:pt>
                <c:pt idx="1">
                  <c:v>1</c:v>
                </c:pt>
                <c:pt idx="2">
                  <c:v>2</c:v>
                </c:pt>
                <c:pt idx="3">
                  <c:v>3</c:v>
                </c:pt>
                <c:pt idx="4">
                  <c:v>4</c:v>
                </c:pt>
                <c:pt idx="5">
                  <c:v>5</c:v>
                </c:pt>
                <c:pt idx="6">
                  <c:v>6</c:v>
                </c:pt>
                <c:pt idx="7">
                  <c:v>8</c:v>
                </c:pt>
                <c:pt idx="8">
                  <c:v>9</c:v>
                </c:pt>
                <c:pt idx="9">
                  <c:v>14</c:v>
                </c:pt>
              </c:strCache>
            </c:strRef>
          </c:cat>
          <c:val>
            <c:numRef>
              <c:f>Sheet1!$D$57:$D$67</c:f>
              <c:numCache>
                <c:formatCode>General</c:formatCode>
                <c:ptCount val="10"/>
                <c:pt idx="0">
                  <c:v>4</c:v>
                </c:pt>
                <c:pt idx="1">
                  <c:v>29</c:v>
                </c:pt>
                <c:pt idx="2">
                  <c:v>21</c:v>
                </c:pt>
                <c:pt idx="3">
                  <c:v>10</c:v>
                </c:pt>
                <c:pt idx="4">
                  <c:v>4</c:v>
                </c:pt>
                <c:pt idx="5">
                  <c:v>2</c:v>
                </c:pt>
                <c:pt idx="6">
                  <c:v>1</c:v>
                </c:pt>
                <c:pt idx="7">
                  <c:v>2</c:v>
                </c:pt>
                <c:pt idx="8">
                  <c:v>1</c:v>
                </c:pt>
                <c:pt idx="9">
                  <c:v>1</c:v>
                </c:pt>
              </c:numCache>
            </c:numRef>
          </c:val>
          <c:extLst>
            <c:ext xmlns:c16="http://schemas.microsoft.com/office/drawing/2014/chart" uri="{C3380CC4-5D6E-409C-BE32-E72D297353CC}">
              <c16:uniqueId val="{00000000-7958-49A3-8374-1D3D0783C03D}"/>
            </c:ext>
          </c:extLst>
        </c:ser>
        <c:dLbls>
          <c:showLegendKey val="0"/>
          <c:showVal val="0"/>
          <c:showCatName val="0"/>
          <c:showSerName val="0"/>
          <c:showPercent val="0"/>
          <c:showBubbleSize val="0"/>
        </c:dLbls>
        <c:gapWidth val="219"/>
        <c:overlap val="-27"/>
        <c:axId val="670022800"/>
        <c:axId val="1025038160"/>
      </c:barChart>
      <c:catAx>
        <c:axId val="67002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38160"/>
        <c:crosses val="autoZero"/>
        <c:auto val="1"/>
        <c:lblAlgn val="ctr"/>
        <c:lblOffset val="100"/>
        <c:noMultiLvlLbl val="0"/>
      </c:catAx>
      <c:valAx>
        <c:axId val="1025038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2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project.xlsx]Sheet1!Pivotratinjg</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b="1">
                <a:solidFill>
                  <a:schemeClr val="tx1">
                    <a:lumMod val="95000"/>
                    <a:lumOff val="5000"/>
                  </a:schemeClr>
                </a:solidFill>
              </a:rPr>
              <a:t>How</a:t>
            </a:r>
            <a:r>
              <a:rPr lang="en-IN" sz="1800" b="1" baseline="0">
                <a:solidFill>
                  <a:schemeClr val="tx1">
                    <a:lumMod val="95000"/>
                    <a:lumOff val="5000"/>
                  </a:schemeClr>
                </a:solidFill>
              </a:rPr>
              <a:t> satisfied are our customers?</a:t>
            </a:r>
            <a:endParaRPr lang="en-IN"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Sheet1!$I$60:$I$61</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Sheet1!$I$62:$I$65</c:f>
              <c:numCache>
                <c:formatCode>General</c:formatCode>
                <c:ptCount val="3"/>
                <c:pt idx="0">
                  <c:v>1</c:v>
                </c:pt>
              </c:numCache>
            </c:numRef>
          </c:val>
          <c:extLst>
            <c:ext xmlns:c16="http://schemas.microsoft.com/office/drawing/2014/chart" uri="{C3380CC4-5D6E-409C-BE32-E72D297353CC}">
              <c16:uniqueId val="{00000000-E545-4E4C-9BF1-BDDDFF42595C}"/>
            </c:ext>
          </c:extLst>
        </c:ser>
        <c:ser>
          <c:idx val="1"/>
          <c:order val="1"/>
          <c:tx>
            <c:strRef>
              <c:f>Sheet1!$J$60:$J$61</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Sheet1!$J$62:$J$65</c:f>
              <c:numCache>
                <c:formatCode>General</c:formatCode>
                <c:ptCount val="3"/>
                <c:pt idx="0">
                  <c:v>2</c:v>
                </c:pt>
                <c:pt idx="1">
                  <c:v>1</c:v>
                </c:pt>
                <c:pt idx="2">
                  <c:v>2</c:v>
                </c:pt>
              </c:numCache>
            </c:numRef>
          </c:val>
          <c:extLst>
            <c:ext xmlns:c16="http://schemas.microsoft.com/office/drawing/2014/chart" uri="{C3380CC4-5D6E-409C-BE32-E72D297353CC}">
              <c16:uniqueId val="{00000001-E545-4E4C-9BF1-BDDDFF42595C}"/>
            </c:ext>
          </c:extLst>
        </c:ser>
        <c:ser>
          <c:idx val="2"/>
          <c:order val="2"/>
          <c:tx>
            <c:strRef>
              <c:f>Sheet1!$K$60:$K$61</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Sheet1!$K$62:$K$65</c:f>
              <c:numCache>
                <c:formatCode>General</c:formatCode>
                <c:ptCount val="3"/>
                <c:pt idx="0">
                  <c:v>4</c:v>
                </c:pt>
                <c:pt idx="1">
                  <c:v>7</c:v>
                </c:pt>
                <c:pt idx="2">
                  <c:v>10</c:v>
                </c:pt>
              </c:numCache>
            </c:numRef>
          </c:val>
          <c:extLst>
            <c:ext xmlns:c16="http://schemas.microsoft.com/office/drawing/2014/chart" uri="{C3380CC4-5D6E-409C-BE32-E72D297353CC}">
              <c16:uniqueId val="{00000002-E545-4E4C-9BF1-BDDDFF42595C}"/>
            </c:ext>
          </c:extLst>
        </c:ser>
        <c:ser>
          <c:idx val="3"/>
          <c:order val="3"/>
          <c:tx>
            <c:strRef>
              <c:f>Sheet1!$L$60:$L$61</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Sheet1!$L$62:$L$65</c:f>
              <c:numCache>
                <c:formatCode>General</c:formatCode>
                <c:ptCount val="3"/>
                <c:pt idx="0">
                  <c:v>6</c:v>
                </c:pt>
                <c:pt idx="1">
                  <c:v>10</c:v>
                </c:pt>
                <c:pt idx="2">
                  <c:v>12</c:v>
                </c:pt>
              </c:numCache>
            </c:numRef>
          </c:val>
          <c:extLst>
            <c:ext xmlns:c16="http://schemas.microsoft.com/office/drawing/2014/chart" uri="{C3380CC4-5D6E-409C-BE32-E72D297353CC}">
              <c16:uniqueId val="{00000003-ACC1-4EE8-B432-AC24252035B0}"/>
            </c:ext>
          </c:extLst>
        </c:ser>
        <c:ser>
          <c:idx val="4"/>
          <c:order val="4"/>
          <c:tx>
            <c:strRef>
              <c:f>Sheet1!$M$60:$M$61</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Sheet1!$M$62:$M$65</c:f>
              <c:numCache>
                <c:formatCode>General</c:formatCode>
                <c:ptCount val="3"/>
                <c:pt idx="0">
                  <c:v>5</c:v>
                </c:pt>
                <c:pt idx="1">
                  <c:v>6</c:v>
                </c:pt>
                <c:pt idx="2">
                  <c:v>9</c:v>
                </c:pt>
              </c:numCache>
            </c:numRef>
          </c:val>
          <c:extLst>
            <c:ext xmlns:c16="http://schemas.microsoft.com/office/drawing/2014/chart" uri="{C3380CC4-5D6E-409C-BE32-E72D297353CC}">
              <c16:uniqueId val="{00000007-ACC1-4EE8-B432-AC24252035B0}"/>
            </c:ext>
          </c:extLst>
        </c:ser>
        <c:dLbls>
          <c:dLblPos val="outEnd"/>
          <c:showLegendKey val="0"/>
          <c:showVal val="1"/>
          <c:showCatName val="0"/>
          <c:showSerName val="0"/>
          <c:showPercent val="0"/>
          <c:showBubbleSize val="0"/>
        </c:dLbls>
        <c:gapWidth val="219"/>
        <c:overlap val="-27"/>
        <c:axId val="854389744"/>
        <c:axId val="1025074640"/>
      </c:barChart>
      <c:catAx>
        <c:axId val="85438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74640"/>
        <c:crosses val="autoZero"/>
        <c:auto val="1"/>
        <c:lblAlgn val="ctr"/>
        <c:lblOffset val="100"/>
        <c:noMultiLvlLbl val="0"/>
      </c:catAx>
      <c:valAx>
        <c:axId val="102507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 matrix</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How</a:t>
            </a:r>
            <a:r>
              <a:rPr lang="en-IN" sz="1800" b="1" baseline="0">
                <a:solidFill>
                  <a:schemeClr val="tx1"/>
                </a:solidFill>
              </a:rPr>
              <a:t> they like to buy</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doughnutChart>
        <c:varyColors val="1"/>
        <c:ser>
          <c:idx val="0"/>
          <c:order val="0"/>
          <c:tx>
            <c:strRef>
              <c:f>Sheet1!$H$16:$H$17</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55-4BA9-84E4-D340789B903F}"/>
              </c:ext>
            </c:extLst>
          </c:dPt>
          <c:cat>
            <c:strRef>
              <c:f>Sheet1!$G$18:$G$23</c:f>
              <c:strCache>
                <c:ptCount val="5"/>
                <c:pt idx="0">
                  <c:v>App</c:v>
                </c:pt>
                <c:pt idx="1">
                  <c:v>Instagram</c:v>
                </c:pt>
                <c:pt idx="2">
                  <c:v>Partner App</c:v>
                </c:pt>
                <c:pt idx="3">
                  <c:v>Target.com</c:v>
                </c:pt>
                <c:pt idx="4">
                  <c:v>Website</c:v>
                </c:pt>
              </c:strCache>
            </c:strRef>
          </c:cat>
          <c:val>
            <c:numRef>
              <c:f>Sheet1!$H$18:$H$23</c:f>
              <c:numCache>
                <c:formatCode>0.00%</c:formatCode>
                <c:ptCount val="5"/>
                <c:pt idx="0">
                  <c:v>0.18961825201634841</c:v>
                </c:pt>
                <c:pt idx="1">
                  <c:v>5.0283982091147303E-2</c:v>
                </c:pt>
                <c:pt idx="2">
                  <c:v>6.3496059750411282E-2</c:v>
                </c:pt>
                <c:pt idx="3">
                  <c:v>9.6337892927149532E-2</c:v>
                </c:pt>
                <c:pt idx="4">
                  <c:v>0.12522098709469262</c:v>
                </c:pt>
              </c:numCache>
            </c:numRef>
          </c:val>
          <c:extLst>
            <c:ext xmlns:c16="http://schemas.microsoft.com/office/drawing/2014/chart" uri="{C3380CC4-5D6E-409C-BE32-E72D297353CC}">
              <c16:uniqueId val="{0000000A-D055-4BA9-84E4-D340789B903F}"/>
            </c:ext>
          </c:extLst>
        </c:ser>
        <c:ser>
          <c:idx val="1"/>
          <c:order val="1"/>
          <c:tx>
            <c:strRef>
              <c:f>Sheet1!$I$16:$I$17</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055-4BA9-84E4-D340789B903F}"/>
              </c:ext>
            </c:extLst>
          </c:dPt>
          <c:cat>
            <c:strRef>
              <c:f>Sheet1!$G$18:$G$23</c:f>
              <c:strCache>
                <c:ptCount val="5"/>
                <c:pt idx="0">
                  <c:v>App</c:v>
                </c:pt>
                <c:pt idx="1">
                  <c:v>Instagram</c:v>
                </c:pt>
                <c:pt idx="2">
                  <c:v>Partner App</c:v>
                </c:pt>
                <c:pt idx="3">
                  <c:v>Target.com</c:v>
                </c:pt>
                <c:pt idx="4">
                  <c:v>Website</c:v>
                </c:pt>
              </c:strCache>
            </c:strRef>
          </c:cat>
          <c:val>
            <c:numRef>
              <c:f>Sheet1!$I$18:$I$23</c:f>
              <c:numCache>
                <c:formatCode>0.00%</c:formatCode>
                <c:ptCount val="5"/>
                <c:pt idx="0">
                  <c:v>0.12262322351336576</c:v>
                </c:pt>
                <c:pt idx="1">
                  <c:v>4.3060781812819873E-2</c:v>
                </c:pt>
                <c:pt idx="2">
                  <c:v>4.6071629863988765E-2</c:v>
                </c:pt>
                <c:pt idx="3">
                  <c:v>6.7920115842382611E-2</c:v>
                </c:pt>
                <c:pt idx="4">
                  <c:v>9.1492740283116228E-2</c:v>
                </c:pt>
              </c:numCache>
            </c:numRef>
          </c:val>
          <c:extLst>
            <c:ext xmlns:c16="http://schemas.microsoft.com/office/drawing/2014/chart" uri="{C3380CC4-5D6E-409C-BE32-E72D297353CC}">
              <c16:uniqueId val="{00000015-D055-4BA9-84E4-D340789B903F}"/>
            </c:ext>
          </c:extLst>
        </c:ser>
        <c:ser>
          <c:idx val="2"/>
          <c:order val="2"/>
          <c:tx>
            <c:strRef>
              <c:f>Sheet1!$J$16:$J$17</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D055-4BA9-84E4-D340789B903F}"/>
              </c:ext>
            </c:extLst>
          </c:dPt>
          <c:cat>
            <c:strRef>
              <c:f>Sheet1!$G$18:$G$23</c:f>
              <c:strCache>
                <c:ptCount val="5"/>
                <c:pt idx="0">
                  <c:v>App</c:v>
                </c:pt>
                <c:pt idx="1">
                  <c:v>Instagram</c:v>
                </c:pt>
                <c:pt idx="2">
                  <c:v>Partner App</c:v>
                </c:pt>
                <c:pt idx="3">
                  <c:v>Target.com</c:v>
                </c:pt>
                <c:pt idx="4">
                  <c:v>Website</c:v>
                </c:pt>
              </c:strCache>
            </c:strRef>
          </c:cat>
          <c:val>
            <c:numRef>
              <c:f>Sheet1!$J$18:$J$23</c:f>
              <c:numCache>
                <c:formatCode>0.00%</c:formatCode>
                <c:ptCount val="5"/>
                <c:pt idx="0">
                  <c:v>1.060537752469185E-2</c:v>
                </c:pt>
                <c:pt idx="1">
                  <c:v>1.5320025675641944E-3</c:v>
                </c:pt>
                <c:pt idx="2">
                  <c:v>2.306247051322625E-3</c:v>
                </c:pt>
                <c:pt idx="3">
                  <c:v>5.4979832664581261E-3</c:v>
                </c:pt>
                <c:pt idx="4">
                  <c:v>6.3042760790965081E-3</c:v>
                </c:pt>
              </c:numCache>
            </c:numRef>
          </c:val>
          <c:extLst>
            <c:ext xmlns:c16="http://schemas.microsoft.com/office/drawing/2014/chart" uri="{C3380CC4-5D6E-409C-BE32-E72D297353CC}">
              <c16:uniqueId val="{00000020-D055-4BA9-84E4-D340789B903F}"/>
            </c:ext>
          </c:extLst>
        </c:ser>
        <c:ser>
          <c:idx val="3"/>
          <c:order val="3"/>
          <c:tx>
            <c:strRef>
              <c:f>Sheet1!$K$16:$K$17</c:f>
              <c:strCache>
                <c:ptCount val="1"/>
                <c:pt idx="0">
                  <c:v>Unknown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2-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4-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6-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8-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A-D055-4BA9-84E4-D340789B903F}"/>
              </c:ext>
            </c:extLst>
          </c:dPt>
          <c:cat>
            <c:strRef>
              <c:f>Sheet1!$G$18:$G$23</c:f>
              <c:strCache>
                <c:ptCount val="5"/>
                <c:pt idx="0">
                  <c:v>App</c:v>
                </c:pt>
                <c:pt idx="1">
                  <c:v>Instagram</c:v>
                </c:pt>
                <c:pt idx="2">
                  <c:v>Partner App</c:v>
                </c:pt>
                <c:pt idx="3">
                  <c:v>Target.com</c:v>
                </c:pt>
                <c:pt idx="4">
                  <c:v>Website</c:v>
                </c:pt>
              </c:strCache>
            </c:strRef>
          </c:cat>
          <c:val>
            <c:numRef>
              <c:f>Sheet1!$K$18:$K$23</c:f>
              <c:numCache>
                <c:formatCode>0.00%</c:formatCode>
                <c:ptCount val="5"/>
                <c:pt idx="0">
                  <c:v>3.0599220547662797E-2</c:v>
                </c:pt>
                <c:pt idx="1">
                  <c:v>1.7794988689097006E-2</c:v>
                </c:pt>
                <c:pt idx="2">
                  <c:v>3.8927934093844286E-3</c:v>
                </c:pt>
                <c:pt idx="3">
                  <c:v>1.2933041488102518E-2</c:v>
                </c:pt>
                <c:pt idx="4">
                  <c:v>1.2408404181197551E-2</c:v>
                </c:pt>
              </c:numCache>
            </c:numRef>
          </c:val>
          <c:extLst>
            <c:ext xmlns:c16="http://schemas.microsoft.com/office/drawing/2014/chart" uri="{C3380CC4-5D6E-409C-BE32-E72D297353CC}">
              <c16:uniqueId val="{0000002B-D055-4BA9-84E4-D340789B90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 matrix</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Sheet1!$H$16:$H$17</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46-4E3F-8F52-B5B4DB9F111B}"/>
              </c:ext>
            </c:extLst>
          </c:dPt>
          <c:cat>
            <c:strRef>
              <c:f>Sheet1!$G$18:$G$23</c:f>
              <c:strCache>
                <c:ptCount val="5"/>
                <c:pt idx="0">
                  <c:v>App</c:v>
                </c:pt>
                <c:pt idx="1">
                  <c:v>Instagram</c:v>
                </c:pt>
                <c:pt idx="2">
                  <c:v>Partner App</c:v>
                </c:pt>
                <c:pt idx="3">
                  <c:v>Target.com</c:v>
                </c:pt>
                <c:pt idx="4">
                  <c:v>Website</c:v>
                </c:pt>
              </c:strCache>
            </c:strRef>
          </c:cat>
          <c:val>
            <c:numRef>
              <c:f>Sheet1!$H$18:$H$23</c:f>
              <c:numCache>
                <c:formatCode>0.00%</c:formatCode>
                <c:ptCount val="5"/>
                <c:pt idx="0">
                  <c:v>0.18961825201634841</c:v>
                </c:pt>
                <c:pt idx="1">
                  <c:v>5.0283982091147303E-2</c:v>
                </c:pt>
                <c:pt idx="2">
                  <c:v>6.3496059750411282E-2</c:v>
                </c:pt>
                <c:pt idx="3">
                  <c:v>9.6337892927149532E-2</c:v>
                </c:pt>
                <c:pt idx="4">
                  <c:v>0.12522098709469262</c:v>
                </c:pt>
              </c:numCache>
            </c:numRef>
          </c:val>
          <c:extLst>
            <c:ext xmlns:c16="http://schemas.microsoft.com/office/drawing/2014/chart" uri="{C3380CC4-5D6E-409C-BE32-E72D297353CC}">
              <c16:uniqueId val="{00000000-9DAA-4C51-8518-6349084090C5}"/>
            </c:ext>
          </c:extLst>
        </c:ser>
        <c:ser>
          <c:idx val="1"/>
          <c:order val="1"/>
          <c:tx>
            <c:strRef>
              <c:f>Sheet1!$I$16:$I$17</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0C46-4E3F-8F52-B5B4DB9F111B}"/>
              </c:ext>
            </c:extLst>
          </c:dPt>
          <c:cat>
            <c:strRef>
              <c:f>Sheet1!$G$18:$G$23</c:f>
              <c:strCache>
                <c:ptCount val="5"/>
                <c:pt idx="0">
                  <c:v>App</c:v>
                </c:pt>
                <c:pt idx="1">
                  <c:v>Instagram</c:v>
                </c:pt>
                <c:pt idx="2">
                  <c:v>Partner App</c:v>
                </c:pt>
                <c:pt idx="3">
                  <c:v>Target.com</c:v>
                </c:pt>
                <c:pt idx="4">
                  <c:v>Website</c:v>
                </c:pt>
              </c:strCache>
            </c:strRef>
          </c:cat>
          <c:val>
            <c:numRef>
              <c:f>Sheet1!$I$18:$I$23</c:f>
              <c:numCache>
                <c:formatCode>0.00%</c:formatCode>
                <c:ptCount val="5"/>
                <c:pt idx="0">
                  <c:v>0.12262322351336576</c:v>
                </c:pt>
                <c:pt idx="1">
                  <c:v>4.3060781812819873E-2</c:v>
                </c:pt>
                <c:pt idx="2">
                  <c:v>4.6071629863988765E-2</c:v>
                </c:pt>
                <c:pt idx="3">
                  <c:v>6.7920115842382611E-2</c:v>
                </c:pt>
                <c:pt idx="4">
                  <c:v>9.1492740283116228E-2</c:v>
                </c:pt>
              </c:numCache>
            </c:numRef>
          </c:val>
          <c:extLst>
            <c:ext xmlns:c16="http://schemas.microsoft.com/office/drawing/2014/chart" uri="{C3380CC4-5D6E-409C-BE32-E72D297353CC}">
              <c16:uniqueId val="{00000001-9DAA-4C51-8518-6349084090C5}"/>
            </c:ext>
          </c:extLst>
        </c:ser>
        <c:ser>
          <c:idx val="2"/>
          <c:order val="2"/>
          <c:tx>
            <c:strRef>
              <c:f>Sheet1!$J$16:$J$17</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0C46-4E3F-8F52-B5B4DB9F111B}"/>
              </c:ext>
            </c:extLst>
          </c:dPt>
          <c:cat>
            <c:strRef>
              <c:f>Sheet1!$G$18:$G$23</c:f>
              <c:strCache>
                <c:ptCount val="5"/>
                <c:pt idx="0">
                  <c:v>App</c:v>
                </c:pt>
                <c:pt idx="1">
                  <c:v>Instagram</c:v>
                </c:pt>
                <c:pt idx="2">
                  <c:v>Partner App</c:v>
                </c:pt>
                <c:pt idx="3">
                  <c:v>Target.com</c:v>
                </c:pt>
                <c:pt idx="4">
                  <c:v>Website</c:v>
                </c:pt>
              </c:strCache>
            </c:strRef>
          </c:cat>
          <c:val>
            <c:numRef>
              <c:f>Sheet1!$J$18:$J$23</c:f>
              <c:numCache>
                <c:formatCode>0.00%</c:formatCode>
                <c:ptCount val="5"/>
                <c:pt idx="0">
                  <c:v>1.060537752469185E-2</c:v>
                </c:pt>
                <c:pt idx="1">
                  <c:v>1.5320025675641944E-3</c:v>
                </c:pt>
                <c:pt idx="2">
                  <c:v>2.306247051322625E-3</c:v>
                </c:pt>
                <c:pt idx="3">
                  <c:v>5.4979832664581261E-3</c:v>
                </c:pt>
                <c:pt idx="4">
                  <c:v>6.3042760790965081E-3</c:v>
                </c:pt>
              </c:numCache>
            </c:numRef>
          </c:val>
          <c:extLst>
            <c:ext xmlns:c16="http://schemas.microsoft.com/office/drawing/2014/chart" uri="{C3380CC4-5D6E-409C-BE32-E72D297353CC}">
              <c16:uniqueId val="{00000002-9DAA-4C51-8518-6349084090C5}"/>
            </c:ext>
          </c:extLst>
        </c:ser>
        <c:ser>
          <c:idx val="3"/>
          <c:order val="3"/>
          <c:tx>
            <c:strRef>
              <c:f>Sheet1!$K$16:$K$17</c:f>
              <c:strCache>
                <c:ptCount val="1"/>
                <c:pt idx="0">
                  <c:v>Unknown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0C46-4E3F-8F52-B5B4DB9F111B}"/>
              </c:ext>
            </c:extLst>
          </c:dPt>
          <c:cat>
            <c:strRef>
              <c:f>Sheet1!$G$18:$G$23</c:f>
              <c:strCache>
                <c:ptCount val="5"/>
                <c:pt idx="0">
                  <c:v>App</c:v>
                </c:pt>
                <c:pt idx="1">
                  <c:v>Instagram</c:v>
                </c:pt>
                <c:pt idx="2">
                  <c:v>Partner App</c:v>
                </c:pt>
                <c:pt idx="3">
                  <c:v>Target.com</c:v>
                </c:pt>
                <c:pt idx="4">
                  <c:v>Website</c:v>
                </c:pt>
              </c:strCache>
            </c:strRef>
          </c:cat>
          <c:val>
            <c:numRef>
              <c:f>Sheet1!$K$18:$K$23</c:f>
              <c:numCache>
                <c:formatCode>0.00%</c:formatCode>
                <c:ptCount val="5"/>
                <c:pt idx="0">
                  <c:v>3.0599220547662797E-2</c:v>
                </c:pt>
                <c:pt idx="1">
                  <c:v>1.7794988689097006E-2</c:v>
                </c:pt>
                <c:pt idx="2">
                  <c:v>3.8927934093844286E-3</c:v>
                </c:pt>
                <c:pt idx="3">
                  <c:v>1.2933041488102518E-2</c:v>
                </c:pt>
                <c:pt idx="4">
                  <c:v>1.2408404181197551E-2</c:v>
                </c:pt>
              </c:numCache>
            </c:numRef>
          </c:val>
          <c:extLst>
            <c:ext xmlns:c16="http://schemas.microsoft.com/office/drawing/2014/chart" uri="{C3380CC4-5D6E-409C-BE32-E72D297353CC}">
              <c16:uniqueId val="{00000003-9DAA-4C51-8518-6349084090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Gill Sans MT" panose="020B0502020104020203"/>
            </a:rPr>
            <a:t>Where do our customers live?</a:t>
          </a:r>
        </a:p>
      </cx:txPr>
      <cx:extLst>
        <cx:ext uri="ext:featex">
          <cx:featureExtension feature="mp" drop="onModelChange">
            <cx:offset top="0.032679349184036255" left="-0.35947698354721069"/>
          </cx:featureExtension>
        </cx:ext>
      </cx:extLst>
    </cx:title>
    <cx:plotArea>
      <cx:plotAreaRegion>
        <cx:series layoutId="regionMap" uniqueId="{00000000-32B6-4398-A7E8-0C1829063171}">
          <cx:tx>
            <cx:txData>
              <cx:f>_xlchart.v5.6</cx:f>
              <cx:v>Sum of Quantity</cx:v>
            </cx:txData>
          </cx:tx>
          <cx:dataId val="0"/>
          <cx:layoutPr>
            <cx:geography cultureLanguage="en-US" cultureRegion="IN" attribution="Powered by Bing">
              <cx:geoCache provider="{E9337A44-BEBE-4D9F-B70C-5C5E7DAFC167}">
                <cx:binary>3HzZctw4Eu2vOPx8qSY2ApiYnogBySqVZG2WvL4wypLMFQRJgOvX3yx5aZUsu+Ub7Yg71nRPh8QC
mMQBMk+eTNa/r6d/XVe32+7ZpKva/ut6+vN55lzzrz/+sNfZrd7aA51fd8aaj+7g2ug/zMeP+fXt
Hzfddszr9A/sI/rHdbbt3O30/D//htnSW/PCXG9dbuqL/rabX97avnL2B9cevfRse6PzOsqt6/Jr
h/58Hm6r/KPp6nz7fP8a/vP5pamN3j4LTV+7+fmz29rlbr6am9s/n+9Ng58/++Ph3b6x7FkFxrv+
BgYTcUCJDCTH3L/7Ic+fVaZOP1/2EMYHHLGAUkG/3PZ0q2Hk0y26s2d7c9PdWgsPdvffb8bvPQWs
xX//dg2ud2uxW/0UgPjz+as6d7c3zy7d1t3a589ya+4Wq5tDs3vQV5d3K/PHPn7/+feDP8BaPfjL
PYgfLuzfXdpH8W8Q/m8Fy3rzKyDmB8KnAouAyLsf/i3EmGPKA9g8nzbWJ4R/wqLHIX44wRMwfjjk
dwNZb29M90uOMQEAfbw7pfvn1z/gHGNJfHl3vtEDjJ9s0Hcg3h//FIT3R/xmAL8w9tl/6/S2urW/
AGV64DOMiaDs00kWD8BG4gBTAjsBffLmD8D+SeMeR/yxSZ4A+2PDfjPsQwPxaOfArfsVblwc+EhI
SQh/HHyI1IhQwTiCbXHfj/+sXY/j/ugsTwD+0XG/GfKHvf5gqhv3zx95Cu5bBIhSHDw465geoAAR
HwL7p/2wD/rPmPQ44N/M8ASwvxnzmwH9Ylve/vMgE3ngUwI+G6L03Q8Qsf0gjg8kYigQHHbB/aP9
VHseR3hv9BPQ3fv8b4bsRje3Xb6tfgG6kEFJLBgg/AndhykWYgcsYIwhIHC7nwdR+2csexznb2Z4
AtbfjPnN8D6+7epfgDU7IJxQn9FPUO6w3DvJCI46RHFEMGRh90/yU+15HOG90U9Ad+/zvxmyJ7fd
NQgB4T8ulfAD4gcyEMHngPuQfWP/gAokgXzTx87x0+16HOMH45+A8oMRvxnO59X2+vbX5NJCcomo
+JQx+w/9NUYHPt95c/yJeMn9k/x0ux7H+cH4J+D8YMRvhvPl9roDaax25hecaXHAeCAhbfI/YfmN
NoYOqNz9D5z6I7H552x7HO9H5ngC5o+M+u1wr58piNLb7iavfwX2kED5giBBPrPuh+cc8QMsqQ++
YP+AX25/1rDvAf/oPE8C/9GRv+EGiPLb9Fdgf1fV4Ax4+UOCxiGtJgJ2xWeN7Vvsn2zT92Hfn+KJ
iO8P+g3BXnXb+jq31+bLmv8TBS4OAorvcyE+szY4zHuMHGQzCjU+Jsgjx/yrRU8JPd+H+9tpngj5
twN/Q9iPzLbt81+RjfEDyTijGAC++3no4YHJYYkplZI9Ht3rZz9h3PfxfzjJE9F/OOw3xP4EqrW/
wr9zSMUo5/KLF/+G1+EDjAUCZvdAbdkF9ycb9X3E96d4It77g34/tKEsorbdh+1dkaT/hxsZ6M6N
iwASt69Z2Z6fB+UlkIJQRILH9HLA/efM+y72j0zzNPwfGfhb7oGw+jU7APQZKH2Chv49fQYdAAtA
lFH2hWB8bmW5w/7JZv0I+f1Jnoz7/rDfDXW3rXNbbftfURLnBwH1OWHB90onINb4u6I4f1AVhUah
n7DqO5h/O8dTIP921O+GeO/cL5HmJJS4McYIf3byD7M3IHQBZlAulQ8KZZdPtug7SO+PfwrK+yN+
M4SvenDiv6IUGoAT9xHw9c/i6yMFFCx3bpwBmb9fQHm6RY8j/GD8ExB+MOJ/AOEfm7j3yLtuxf9+
WeFH8vCf7TMFLQ2KYgGws0+p2CO4Bgi6UBH9fLS/3PtTiL7fG/sJ9cdsehzZ+2P3nvHTI/54UX5N
H+n3e0y/NutGW7eN79p877WZ/vjq3eNDd/KDoZ+PySML9rXhc3Pz53OoThPmE2gg/NpBvJto75Dt
S59fINoffbu17s/nHkKgrxKoolApGGHQQ/z82Xj7+dKuJRUaUiFyU+7zXYWlNp3LoB+ZwRUJLU6M
84AEHIEoY01/d4kcCO4LwTkEe2h2hAm/PPC5qebU1F9X5/Pvz+pen5u8dhaeDsOOaz59bmcv83fN
M8AbOEOY+RicDly/3r6Enu/dx/+PnJjXQKE2O/VKgSM2aBeLZSabYJjb90NHZq1c67pOBbPHeZiW
C9MqGVtbvJqLsojlEgz+ad1hGtVtk06+Crg/XEyjMPO2h33eZVE6tUuP1VQNBW5US4QgU0SCJWlV
yVG7bMAPdqldu8arskvh3Kg65pJC1R73A7WkS3GlTTW8oi4tcFiV/nyZIaFzhYsiWzVNFS/GVfZw
zvJGVaznr2s0eL2aCze8brQUkyKsWeaQ1guqQs+2dViSRpyTcmjeEd0W7zzWsEMqkUsVGqrkjPso
FaoSRX6y2Fb0oU4WnYYiD5JQGrypU1+HmhT9ie9xfcqDenipcZDFXV9iGua8Hg57L2FhX7XiPa71
tITSSbOooeuDSXGRMx4WqOIvPSTMEi5O54dVx5drjT0SZSmdbR3Ofss6vOolK5pEUdKXZiMG4tas
A0BslE/e8M7lHUJxOSRDTAvUZ3VcyCxZgnjBwzI0ah7JsshDmQr42Nx06Zr7brmw3VC8J7K2F5Jb
viqqAElVWZpd6bE5lcQ247nxYDXPay8d/Di1vtFhmpi+3WQY9cmZyHHxrqwsvppkX/WpCvqyUGPt
59WhT2rHlSeapNi0qCumI81zOt4Go0hvJZF83TuSrKo8M63KJc6U9eystNfxqBS5fZsR1HRnrefJ
MFicut/YvncSrk0zd3mafX434euv/7kyGv6563T/64+7Vxv++m19a3ae1z780M5zff3UX93yO0/x
tXX+gf/59H7El7P6Mxe/77nuux4GSv2PnNZ9//8pdtw5gLtRe84K+mr9AGPGBIMJvzgraLSDhg7f
B28lIH7tBKPPzopiaOaA9jxor4eghZEAOvrFWeEDRqBRF7RnONMcOj5+ylk99FVMBuDAoPWAg88C
PRMS2Pu+yi3ENG3fT6f1SGQ8jEnWKEMKXoYlH4eLwGPzUTENdRn7funeOUOHVyW1U6usrNs391bv
MdcJ4tme5wRroCyGOYdGB3ixIHjgOWk9N6XM+uEUtzU6BcdYJ6rnJsjCaXBGqmGk/Ts+NF6uOi1c
G7ZFV6YqWSynIdTe6xvpnH8Gc2R9hKsKvVqYJ9B6Dlhyi2YPTasfW4whiH1jccChcQNDYIGWSX9/
/WjOM8B2dqdkYmkaBdNSvRogcJGV47NhapgnVEQ5T4RaeDDnai59stZDN6OoG4y7ySZrUZh7DYss
vBg0KKczf1C8Y2Uap6bIzsteHmkrMxtBb7Z8bbP2uKxGNsW59YKTvMsGvf7xU30LA3Qh+NBbBm9u
QM3q7qHvBTA+e+noNZU9rV0iXxvwcVjREsPWaOp+Oh+nTl42Care/vi2u712P25Cfwu0GHMiIWbu
/m9n1r3bMn9KaWPT+rQWCzpFZdaf1rYLc5Fkr398Jzg+39xJ+hhIArTASi4e7LOmpvPSdpk5FY1P
t+1oumqdODFjVTZZ7Ld9tYTEn4UJC8JG/XebZrcp9h8UNgpmIB4AcUVQE9x/UM5JnqW1zk95W7Kt
Lnq2LaudDWzRNg46Y9TsA/TrsWpHrNrS8FtXSbsZ5UxfTAHp/JCMhSnDgtf6FekaDNFNzPNt4w1N
5HuL5iGThnaHDDhB/8nRf3qB6fyToXsM51ugoF8U3AYInvB2D6fg0+4D5Qc9qxlLvBMIWHqbd85C
hPdKV1NF5rlOj8YsLz+kQjYvpqXNVoGhUx5iNPCPji+LCecs5SE1xXCbd4TfDKzJ+NGPIabsG5AJ
JbCJdqIsyPGMAxe8b2XQidzvMkdOCto2iRSRk9myntxE5MoNfR92U+tfDHpmvcqyjIcdqtcWd826
og0Oy6rVL5uKaSAW1Zi+GQttNrN1TjWsbV4FthRR0tZJ2JuiyFXuSDGqpLD16dh4FoLsQuI0RbJQ
3pLUOsRDpg9Z4KqXuEjP07kmk6p63p66pL1yWANBCQYMC5nPGHwD7ZdF+aMoXlQZE+8Sv6dHWSDQ
iyWdBhmOfkZ1CFjmG090wCjHWSwRGpkXLcV03djWXfZAozI1asdXiW37DU0wvmozNJbrhHsoV0tW
Jh9A9uwGldet977XXEdNY/GmNHWzQa2sbvKhCeDcE11e5jKZuBpamh51SdeHM6zDGlEsz9pRTzEd
u3aF0ISGuIJ3CdJwGFPRhgPOklhb0kV9I8+yxEv9CCHjDiHU4DGs/SJQwvHq7aT97Bh3srlkxLF1
LwsPr2ygl60ITBdbfyqW1VCKdOVNk7/Ftho/2rRpWLhg5/eqTvGQriZXGDgc4xjP6dCLVWeSLKoc
0Yc1fFRBAOoMLLQeuCpsUXghT0auuGHToqirkpA4r9brLijjlPazfzFCKgLvWnZ+pQrYSW5F3Cjt
eiJ8ehGUy1IlF/3YOq3VnFdz3d1kSYbx8s6O3sR1pmQHrtxc41kXjnSqd33f+KeudLqcjmTeLutB
9i7Z6C4Hpl3gylz63CObYiakD3vAIFFz68sJ4NJCRHWSQDx0VTm2cVCOqR92lUPJWdb6ATeH5czH
LJqnSroXgXUEdtSYGGTHsIdYuAq8rEjOBjg6QRq2ohGw4Uhp9aqu8g6oagvBK4mnIQ9CL4Gcm6k5
8WsKr6YkWoeZ7MdkNVa80rFNgBWsWJ3qJRQLA49Z45ICqc86r1KDnVN7bnNP69ikufjo9QPP/cg3
2K1zKnpxyrwkTY5qwh1nRVhPtl3mQ+uDd8viJs24jhM7LO1KdrbOV3MV6PnQt1Y3IcNzlYd8YnO1
7vI290KAFb/xGr2giJCg1BH863tnVeF7Fpa8rt8UWku9IZ10VVxmLni5AFcmq8IzGB1nY2Z5rXiG
M7dOuqGpLyEYk6MiXXC56huwIIZsKF1igaZFhqKYm/FEixm2tgdHpYsShPqjjjBWRWlC0j6CZAXg
zLkFflIvBVluqxLel40EGKAjyAGzdoP8nB6mOS+DEJdlS6Lc5Em09EnJlDd2jTwvkrGgIcnbYlG6
KRbv2E8qukJNkjIwV/ImRnO2mE2WozGNS0mzUe0+p5DMZQ3bJyVtOI25tyg35d77rp7N7KkczhE+
RUudL7kSA/XI1VyNuD8NGjmbqJatO2F9DSEptbyEAVITWK0kz1D9DvK9OjtqZ11NKzuyJT+GFM9d
0QKzLZsSnSiBYPOu+nriJLbBkoPxPSp0VJG2tKEYkzhHefuuGkdgFkVaDJeWBeOHpsvI4cDHNIlF
Cam1qkUC87DKFNOq7gZ0ukwNoRfWMXSFnAefGAPPitChmU/xgHWRH3YTxuOm5qnFZ7nH5evab3eb
syhau+aVzez5NFMnQr8dAZtsrMEwY8HpHkMEk6+J8GF3a/CSXQRNuZPZOCsTfF5AFlq+xKKWdDPR
YuxP3OR25DObp3NWesEUm1HDrY1ZlkFNWLtl7Zd89/A700fwT2BXo9EpZTU8Rd8yWKqsNCWkseUA
R6ep0jK/qDsOR77rgRWkcA18KnZ1dtYiOne1Ik3mA9xjN/Un2ssaq3K/b6fVtFND4nlo8c5pwGEK
4YnAgUyQfwNPdrV+nWAij8SQ50KJjJWwL+Y02I41ATOmrphfEjf59jgFmlscm6Yui0sB0WJtax+d
tjJt31EfB63KaJbjIyNS2R8nmUmHaO54OwLBncm6wbCsoc/b+bqsSnY+9ZDiHrb+PJRvxkCn9lAn
nv44L3LnQ/K2yiLIAwSJczxndtUEWr7x/ESvIGFOW8UpuLm5G7OXuXH2WOqyYBHDHU7B7TEK4SjD
8nVXeEMaV7iGY7J4CZEbWhvU3mpwyPORQLCl4nHnseOCebCiE+TwMQSZsT1GXY+DMJGVGyDSksEH
6t0W7zs5yCtvBpp+tEjXoRtn69kqjRAfNvmIYapJo2wJ6ZgG6aYBWMbQK2WwWswwuJNp5tVlMdhW
CW4PqZ4GdriMAYBT+sgu66YqjTmpg4m+8JxPTZy1tR6O03lsslAwq7MrYCL2xpc1uBFwnXZQZWZH
q+Q4iBaiwNxeVmmL8rfILEQMagEGNr9qHPEkTGaTLs64V6ZHXtKMH7LU94aw4jYoN7n00cVkvWRZ
d31r8zhfetikOXYFOZ/KamGnOmiqSrXN4AcnFGV0CmdgNzYeswZQG0Wdp6pbOKhFwtoqRhOZumio
sOjWi2hh95d0Snk0J7Nvw6SxQftmZDO6KrIO9hpEOvka9rq257WsEThY3MhiJXQWjGrq32HRjwKp
shz4K4brdoxGljp6QpNKDC/bxMoOgjvs6LjJCaAJicM8vciJK80L3jUZOceTXwWbZDISnmuavPSk
7LxmjLRNwGcAG+vdSVUlYH8ny3RlM1Fm0Tj5/mZuKZz7OQh4rmiS8ZM7VvpZdf3MnT+phfe1jPvS
xlM0kpMv3xvxUCTZm+j/cyXlEQ14lyn8QAO+K2zdF2A+Kce7UV/kFKjDUVBKMPmk/GJITb7KKehA
7l6TCChCUMzbZVVftF95QCBdkfBFBaCXBD4CxfiLnCIO4LWa3Ts1IAkTkEHwz8gpWDxM7UBdplBG
hNwO+wwUgQd6yoBr7FpPzmcskHble1UdW+rbUpVEJO2x8IuJqXZgnheypG5OxrG/9DVbM1EOynaQ
q+WZz15MNSgsIO3Wqrf0CDQTP6xmYlcYOXkamNEcTkPbXGDaNSqgzjvWc8rWtjBv5YKK0GP+dd1S
X4GHutC5KUFeNlXkNUOlSMrPFlENYW3A2aUNSD25GReFREpUn6d1WGt8URKv2gx67COdsBjyKHbo
8WlSjCR2g8q+FkClaxbmTfmSInE7lu2lGfIXjR67qPMDb1NM3nSUyqoCGVY2Z34fvIcC7EvZwiwJ
Kk+gc36MKO4jO9VVlIzyxKewNARXakqHC79cXuu+eSWL9jjP7HvfI+ui0WDsMuKwhryIsnlS/chO
lkbcQDgpw3mGoCbwcDxzY8KkGtvQ651WWTCtJE6uy4xYxYRZJcbG3GtPaty8LXINYYY0SZhnuovB
T31YcuBGeQe/iOYlpOpV6BekFeeWCG9ee309qyaD+yX+OIQt5BMCdXHXmDWEhZUvxzX23XGP5Ap1
y+0iRB4zPhzXE+tC3nGhrJ0zVfe2CakudNiJsQElWRo1Yvqm6auT3iNp1NImHiYMutB8m/Agxrhx
IU7SLaTYH3uemoiXrI4cXcwK+a46ERU+T7o5UDxo/cOmaC6yDpIniAUKyFIaZpUJwo5apurAbAbs
XheFueh9DQWGoBmVqIrVzp1WugszUq97FEDRIX3j6kaCLAXMoHNVNHh6iEUA21VYlqi8TF3E58U/
5FWdx0ZbqkyauDhvwcknxXmpU+AfNjhORgGetbVT5Fi+9eclDd1gtnwiXWgnL492IekwAYkxGl1Z
Qg5Ac6Vx7ysfLU000ZSq1KWXPOGwpwzBh1jrE5eYKezrUqpkAtqbt5DyEkqPK2+8CFD2ruYkUfWk
Rcxs8EIH+DAQwoVDKs+m2tqo8jALeYY2fupbFTTIKQYqqCqq6cxM3qYzrgO1v7zuix6SCPKhmcfz
gvZThFJ9C+WpU+AiWnWjOB1G5seFEJ1KbD28kLM9Jw25KShEcNtkh6SaP4yFPJ1wfZnXVRFqtryr
WueDTM/SlWBFsWrSrlcuCd5Z017gNNslneVtsQzt4YyT9dKPPMSVFyhLbaVkml+aLB3hUOdV7DXl
m3o0b6A+NKtgoNvOL97XQa8BfgOyhUkgITHkpDfiddF5xygdjoTUfuxPLA6y5igxkIj1pg8HhpAq
pPfOtfOaF/CtRZ2u1MjtqEC5eesg4VZlSuTh0HAZWcisDkcEG6+1kp7h0ggvaiEvuPklwfN/Lywi
iCLfD4tfXn3/NjDuxn0NjASKCYFPgp3ixSDc3QuMUGeAl7whYoLEj7gEXfVLnQGiaQBFCXhbZdfJ
DvXKr4ERvh8AXhgGeW83q39XuPhSaNmjOVAVfkQyfKgYgpgPoVfu+mLlrj32gWLo+nlsQWMZz3v/
KC1CyDWM/RvRmvo72fQvWRWeAkIu96FDhzMMStiuj+O+4Ie8jsBhsc05GWUBh5kyW5YqI7gm55nf
tUPUmmAqLxaTB+J0J/m97VKOywvhsznMfD3hIxw04IzMps2AUSZVHJA8XnI0q34hEF+q8wQUtsp4
oATKQ681l85vUjVnKF5a/nLK7SEQc4g4GhLW3KGI0fYImOeZJ8oP1VxuvSQBHazZFFXxdh4KFC55
dpY6GwtcbXgG+QKauo9dzyFDyMeoailf5y3khp5GlYKM5bAdmjLsefGKi8OW2BAe720a+BvIFAoF
9b2jdqpvK6gXgEOkqpn1bdL4RgndOGX8ScAh7VZN1b9IHB8jUXcEnBcuVcP9D5Otjwj1dIRofTWg
9AgUw1fdBF4I5+5NqWcbZvN4bQN6NNOuXrVFc1Jn0xjJlpOI5VCbTUx32eV1B5mbcXE6kxOd1l3o
LLmoRpmGy9C/9QqyWkZIoRjmWgnsPha8raAQjI3irTmvDT3mY0fjhra5qsq2OAygOKAguUnDqejr
OG+g6o0GUSraLG8QKLME4FSm916y0ashbFRXo5aNkqJ857UdVXhsNpAKF6eVG1GYeeWR9cAv+6il
O+rzInXXpDAr2QdhroFh0Km1oazqN8ky0DBpRR2ZFB11ou8iN/D1wtl1k08jCK/dcc/ptYCcLYLa
9keh+RCmFOTY1smrtA0+0nwEtSG/zVs2hsgWhxmGEj6aRGhSfT5g+wEVBeh4QOQUKetNlYOCRQe3
ygVIfT0phpBaN8bU82XI6v68l96rIe1t6FVuk5GsixHNLtPJtZHhaR/WCYkrCgRmSDnU8QE/KYpL
TIawHDLQJuTwpvSXQOVz8LEo5HuGSgNKCCYrMpWJ8pKsPKl11YVpkTch+JVXKaSbNWXNUVaSs7Ti
PMoMSE1omt4PRQW7Z2z7WIywHpwv78oguYIehgIobH1L0Rishs5/VabVK5vX0LXgiTwaUneiuffR
eeKdJ2aqgjILOUG2jaYEEreYL4HBsSNzuWkw7P54pF2bAK8ZQrlI1F6xFGhrEpSwy4H9vYLCmtyw
ZSrOAzJetS0+9JbmVtt6k5dNpSrT3IAU0jrF8zTunchX5Qg0rcuLN5S6qAqSKrTB61rG03rO5uKF
NhAvPe9l1xcSBPaiavMo0UD3hlEcAxs2EYjVJrQVY2qB/ZuSZj1BfAWGpYHoeWuP27CBs6lI1pxa
w99mgt3mPlB7cGutogta6aoJh2w+horv1pv649HlR5r179KeFjuf87KrUVw06KVBZDMi7+U88yjw
0te4BI4gWGSQfyzH9BwKxucgKkJnhVstPXBTOd/0AyixGS+i0royBt0lLFusuO2cKgRbdc1wyrmJ
u7aEtGBZoixnozJyAhlaeCrxvLPZda91Lss4wRZacLIVbqc3nr1lPezEIeArQguuw6QeK61kAt97
GBb97HmxP8z8NU+Had22HQ6LdMIhE41rTktC3mpDvUsoDcV8gKaPsCrAb6nS0AaaFdhC1m42XSgq
yMEF0a/L1q46N74dx+q1bb13vu7Ihd+z5RwCXrvqqnbbYrTJOnIzJeIMZORTWck0qrXIFStBE87b
QYReUeUrvWh5RUG5PUl1dpmn6YcCd144ln113C0zjxvtCDyPD40tDtgjBhTH7CrPTRFJ4h31g33b
g+JyKTyiV4lnrWrAPjXkEHtAxgMf0HtVENm+Wc48J7yroCBzNM9yjNPOsHpHwN8k0vYRdRwKQnUv
orZyEQ2G4XBAblwnuIMKhjbzGro+snCogH2nrszhsOfscKwkOrTlAJKjewmNJWEboHUx0EEZL7kG
eleoJUBXDTNvOzRdptDUspG0f2vkaBRNl+T0Hhd5JLLv14rvgq6AtHsXcbHgzH8Q2YOqb7DAbX9u
xBgH6KwQVwFYzaAgU9A3P77XPovY3Qs6IaBgCuk9tOPDtyHsB3hrzeTwaMdzkcRJ+bqdV5n3N5Xh
v7vF7vq9GjQUXKtq7KvxvIGDCe1ZKhve0+by/+E5oCoJkiyIEdAXsn8Tm5XlVNTjeE66q9a8mLxT
b9j8+BbfwgJLde8WoHjcfw4HHD9FdBrPqbjU7WqBHjRgITXfFvPf3Gm/zPoZlHt32llyb8WqbGA6
cPAw7QwiQh2EGT7q9ck4xIM+WvTyN8XnneH7JA++5QSK59CgQIhku86Y+7eDbrVp6Rwaz6v2LXJQ
mw2u0ux41m/v1u+fFur+93INBqz5+7nGFVAz+P7Xb1ON3bCvqQa82AqSGTTD+1DchXT5XqpBoE3+
njb3V54BLZcS2jsohjqR3H2Z5BcBTh7A331oZoJi4t37tD8jwEHL4N7+YPAFOQyEPtghUJyEpIM9
8BFQu52CtrX6vEYNpScW9wk03fQ5iGzQnDBiqaZpGKANkTfX7aDfL2bJ1pNXX1JgPYrwD/MwQv2x
Tw87KEK0TV4rJ6Cq11N+6jsEilLRV8o0wK2BpQwRS2eIik0APQRNeup5SRkOQ+bCIjFndnY3XlA2
isnxhjYeqPzGhv+XvXPrjhQ3v/4nIouDEOjy5VAnu1w+2903LHfbBgRIICQQfPp348lMJp1/stbc
z1Wy0qm226ak59n7t3cZBk5CxvWVJSvuXcbPTj/cKlfiMq+C9Qbm5JTpAn8WLerdkVrCDFI/phoX
e9cse/CvPxzr7apZe0lky0MU6RuxNiA/m6pIwmH+NsfOU6uXNuWN9xCE+rXEAb5nsRPvPfijl7Je
ZA70TCcmbDA8LuUbxja5H8MJsg5Td3XtXyQZMD2s/gNQNZg+pr6zvnvq3PCD6G4fqPltJPUV8Zcm
VZAzbexfwV3F/5sdOle9mqA+SmtoJpryVY70lfEfwSwzFJb9HBn7qfzxotb6JZT2Z0PiLgMVtGZx
SG8dfLOgVedDV9VOwuHHw9Qx5W5p6oexDm5M79yswVCk3K39ZPHbAP/ouDtyzI5J6GkwDy65dcK5
vYL2VSahA7ijtN4Vr2i5546hu6Fsz9Vg3DweLVAO5+TPg0pYpE+xnHjisu7SL4SlEBTjo+qFv19w
M8cTx8xXmyrtlzbeN1GlMu5CDqNTgWXG+BBcW/xptPgHVc7PRRwBxjS31DUXVwoYRA4b9oqIFB5l
nJRNc/TDskmsnsuEzCtUG1cdOwc6ofKdYo83WpHOcrrCRYJ9dcXkrNUP7qh7OoW3sP6PJY9sSn2+
J1w+dZocmGdF0qz0SfMhcbvyeZT6A/WuGP1WbFehoQQEB6t2sVlfBR/6rPQh/ET9i2MM1LBxfnKY
7lO8FARw6wx5MDUPi+MveYDdOAG58dmNTgfNuD+ThV0aspSJXqyfxHK+NnaacxtbeYlmoL0OV3HG
Ze2nRcMOM9AH6ODKvumi55k79kUWqHHbefiLabKorZ8CjTU3ZnWU472WETKZFHCI3otRCwhzqj9Y
zwekId2rzYInwlkzuL5BtjrOHRbqKl/EsGaR391g0xDJ4lgsdAEkRluumyP01oD62Z61BxKcnOWz
cbGuO6W6l9GYB4vlGRbJPCbyGY7Bp+thiekj8qlW9xsb2bU7tzf9sjzAs4yScHSqnC6VTZZuuK/M
+NaStcNWdQR9fCKGtWCKgG/j2eNQSwmU3uXTH9X30sGkL/Vd2ztnPfFmB9Q8Wxt7DthkU8+dmiQU
IL+4adzEsGpKldafPWCKpLWzn7U2eqsH9T3CEZ2M0mkSX2KrACFOT9BaeDICe8RYTV5x6g7gzBUm
1Jb+1F6MbZf6dYYD+Wp0lIW/b8yuWqeTLrAe+qq8p5V943WIdZs0ZKcHGHx9qb10JMOBdjQbqnpN
dWUfdDjAX+Yib201Z0NT+7kQocKbTuItEdNzi90ql7a4kW0gUmIKm0ZO+VAU5CJ79sAKcgjsEqdU
gG4xS3tf9P0NmKlhV+q4fVXzWKfFPF07buQD+t7e2CF/Ad6vIW/OgE/YTNLSr35YIWliSL2bZnHC
gX6/EDnBdO5shgvgrieTn9RhmE2YJ/aVW4NNGgOShFQ+FrE4VQUlWI3a67Ga7uqQCEDwIPJruAWR
VF4uyhavnaaHkPL4sArzY5TcJKxXRQLDp0opH5y0XJ1PpMJxX1Sq3sfMuQNr8QO7aJkMbRRD64+d
tLUleJBiFTfuwEiiJKaYuCtSwIdt0i2WJoGPQb2KXS+TOLPDXrg7Xrt612r5w7D6RfZ4kOZC7BZd
qsTDrxyKDhT7OQgaMB5uuYMEh58pEJ5jEMwwFgjQpIo0eNOELX5K01O1NHcz7sRU81jiBzPyBG0H
Zdo6Cx63OGoyAzYKfsBm6DjrnDWEnxcnkLCRojkt3XlOnIY+hXrZAyh5D2V4y8v+w4K6hzDNXynV
dTIrB4+eEdfgCIebKFzPuP8xsEXi4HreUbe9Ssnim7yJXfk6tLw9juvwFPh447cieHEWckHb/Ps8
tDtW8Cdc9u5VTUcBMYMdx7q8RPXwyNbmEDgQpqNq2oA6iYgCmQ9FGCTR5tjLiUCjUeGU+VH0s7bS
ybDCg32S/bpbZHzvFd2Qh2FFgOlYkfc9XOGpNcXRVcsbdfAw6Gryd00TP1oRNUlcOCfsjW+KR1nZ
OFVieb+Xg8Tro/5WNpOHFdotc8eDQMQt2RldA5yowZsN9BY22LMkdF/0rT2sZfDJ3TnCGeuZxIco
lMdWgJeMWpgAIAwTVy54/DhMCWCBLBlW7xsdpxtGGsiSPX6xysGpXS2wi3i0zCl1+Jsr/HNTz2DE
6oKnkAuv6glSDtFqv6xQEk2wqfxuc+CltqBrsTG6GgLg4BcilVxB9GTxe1U6NhniUu0mxF1S2U1T
JrEVg0jZTlX60mHBSMoSkl83OI+Vmp8Ug4UlapbKub02oxcmpYHVUsLKyHzoU5pGQ15AsTKbdNW5
7IlAyyohC6bBJm91vWOwzuL9FED7sqXTZj7UMAeT05ZKcdMZSlkPxcz6uM83Cc2FljZQd05XqGtz
P6VOTz+p6zw6AeS3aBPiGtZ8Rps057f+zwlaHWDtOVmg3o1Q8ZBCUZmArleIQGRsk/osbV7KrhvT
wUK4iKEHcqfblcUPFyohBgOSxMSRiWf4qQ+Vl/aG8xu/lsdikxlj6I0lgi9JN/NHT8Ui6aFJRh2j
iQ+VkrD5xWLmSmi19onupciHTdQEg1om3SZ0DpvkGW/ip4QKGkMNjeNFItQDgQnvu0+6SaZ4Zmxe
NsHOhZraT3jrVsq7azehFc/COaC1zkXIQRs2/QPdZFkAmQHGS0i1gxJnu4m3CiquF+uffJN1Pei7
wyb0dsZ9Wtv6ZJf20d+k4BmasIQ2PE0rHn7QQgnbhGMJBbmHkiw2SdldRo3jEDKzpvyDYTauJlol
PZTotVMgaCBNl2o9+tCqa84zDfm633TsEVMe+DLMmZvGXbE52stN9x4ggLsQwummiEfSIlCEmW/T
y2sI5yYSxwJCetWItwLCOtfmQiC0d5viXkJ6B5qImzKAZ7aJ8hDnbdiB1IJcbyHb94QdGWT8weW3
CECky6bvL0GVVxD8azVdKxgABsJnG7qTfxq5t6TDl1HQipW+Ll/2weCEU3PXhroH/hTT1IS98xvC
/PcOGkDw+O876BYF/Gqk+s8tdHvh71uoR//hxuhZC+H6fHlX/9pC0a8WYplkAeI2YD62Kq5/LqJB
8A+siC6OenQiM+qyPy2iW7AGcX7GXGilX7HCv2B4QZH6ZREFVgL8HB1wGMKgVbm/LKJ4zKuxAnh8
9mLaQRBrBkCSqaFhg+cUcJufetMaAb0mbu/brBLL+mBkkZWVKK8Dw6O3phKgkQfct8N3HrWedzt7
I9wmPi098jeTYJdO6vVUBqatj4Ne/Ee0wzrh0RtdBWSTOfrSFUFxahbq6hyIKfce6oi15Ar5v3b8
yURJ57MKehXe9V27n6hoP4oJMrcUtWlTA06X710eezs2xPV0DztYH0nrY2ZfAY+veeEu5vtKItPA
uKncK9+w4koNA2epENijK8uGVA1K58Zd6isMDOS6KNYe4iArGIodRMUSMhTzuo8IXdNGVOa2AkcK
xuF71JQ/OSVdjgRCl/Y0/Oh190GZxHU4dQN5h1iexq5I/aEEWbm64U43jvk+05Imk+/W9abremnM
Zp5gkohfPFg+GWvm4qet6XQYA+EfK+z9107jd4fGUxEiGcYe174f9iScZKqmVeNgFnZTr3HXK7Mm
bCrO+OX2GQVFOs5jkcW6u4oNk2B6VHRewnA9NqStwNSxNiGs2mNSwV1d4pYNlpiDpjagjUWT9TH7
iEnlYLVcD63HLgGv6X4pZp04Y9ckZYE7ZST2lVSkyJoZaB3yq3sJLhVYs8UYrmYo6lanblVZ+FWh
zRRmuZw7vX9xsWE+OHMY3AtKxQd3iTp1Qw0YeiLI1dTDu8DKdPW3coYAM4xrSNv//dT65+fL/Hpm
/fay38+sjV7ban5jQGoxCSIcZ3/Qa/5W8BwTqJq+G3w58b+fWSgbg6sdgCwD+oYcIV71u3iGNioo
oUjjUAjiBNb6XxHPwKr+cmaF+AQIn8Kfj8DLIy29iWt/0nJjWw7MxJW58Fr3p7hl5KyEvYpFO6Sh
Uc+067KB6+YgZNSuH1CzBufOLLg9hxVvRc+2d6zqMTE3y50uyUmOndwN7Vgn3rrg0W08Z1+3E4Fr
W+1KeJFHJCfctOwLPOXzWFYpmwax6yL40w9L2X9jFWYfB4Z/EgFf52nvA4ebrLOesBjZqkiXeKlP
pm0y0DHOQTvqs2RiRZ7OLfaLh2Wg8hp2RI52eu7R/nDl17Q5x4FAcKV+6A2MuTzuFnfXe5slqRw3
iyYGqzdYg6xtIS/5lIF19dhVE+EUG0ovDbWvd6Htb+IQXuoUSLab2tXCNdXg4SsxH7C43njjyFIt
hm9qLq8Xb84rd8n80QflVl7NK3ZZzXEM1sAF4LbF6WxGkwv8hvGed3SOL1Z+Atqj35eVT8VuCIcq
QaAHWYtq9A5MmXs4sQ8xd4U59rRy9F3tieGASE4qhooehhBZ5weqEQOHdldEE7TNguwDb4a+FRbh
Z1OY+Qgd0OxBTzXZ2onbhY83lPQn0VY3g+tfxdrZyXE+Odj65QpOdhCJy9c0rPv3Wfj3tWbf/j48
cHhsM8f/OjweP6q37u3Xs+O3V/3p7EBAd+u62DDVr0jwH2dH8A+XQsTbQsE+5g6MGr8L72gOD320
mhDUG3xxQf86Oxg+PWBrSfgK3GJYif/K2YHPFPj17ECWEY0HWx0mChg2kPbfzg7RgjFq8W1cJlY1
Y8aD4KkM3QMXAq5pW+YeQMU0dKYlKSZztPPiJRLp/tyb2EmHiMD0QeDtSr48xo4c9oaDOBNeDa2d
djk3/c/St56XrNrYYk8pUI8scMzzGK/kHtmqeU8VLa4rslCgp/DIBz9I+2hSZ7C6JgkhE+1s5P3Q
xfjpFkYf+lkA3eNenVI5Nnltzf3i2bto4vRuwDSEXoY5ztxWmERhgktaBqilNGBKFgZHtsN3Fdtm
x0vjHDweFTnvsOPHpn73hG+BtU4wHrTg04FuInTZr0WiAwRGmkJ4l8LnEqw78s26YuIQea2X9Pjy
a92KRMH2wFepVbLCS0lUAOCfBfO5jYoLl9XJCv+gFbBVLfw3jT3nipZg+6SeEDgu+L0Mx7Sh8mpy
XEhMNOBAWgDyrRUyf7AS8tgMVaoqWuQujIJ+HR8QUjsgWBIfw2G9VXOzoEuCvQRD9FMqeTN4YYQz
sMK6GN6iReKxnLDQzSB9p4Z9qp4cXcPOIU5wnHAOTT0Baqlv5Suf2xMV9TfL9ZguzPm0ZQygRbMd
boHvoWAfvYiQg0KgJOVCxwBT8WOZ2qAHMlFW13WNbF6DjALaHrAIL/y5cbH+zh0Ssq1ABNrBbJd3
UiD2MY4vdBq/xdSmkvgyb8oaUlBZQ6xvh2cZsGbXuW2Y2JiWGcKEjxK/+rb1pyCtJ4zHqLGYUto6
EuyOue1HAA1uNPMcTPZP0uvXqWregTKRXRF4733R8F1lK30SBQIFDvLepYimHbVQ7NdhRBQLj+ve
uG6duAXpVFJ7Q5j1JDg6hrF9GXc8DWKJN4KMPxdOM9KMP4J+Rl4QGlvu8REiHB0/Z9EDJnAXACWx
26cI5bS7eo2gHxQMSRXG0qHGewTCNjJ3sloRRBvSAGsHuKRpX06UIRhsL8FUHPxQ3FZWXGgTHx2n
RuriiOu8mM8Mf+dI9EM/zDqlSwRkl75EsEAaAQdoDviSFdzuG8/7ophGoV+jtnIzuPEqkbxn+Rgx
lUp0ceBSEzvZ9GffN3vYBE9jaY7NUF7rru8Onj+miPnc+u10IGbGzjAzPO3WXrrWX08IXn2rxvom
pBghoOpERz5E1z6DlK8RynUg+8bIaUGCalYQy7rGruSB6yi9+mh4fe2b+trr+m+tBy08nkeTUK94
IlH4YtR48buG7JG2YpnlHk0h+IWZQpXkRrQ2CTjxPYRSaIt0tamzdPczLV7WAt/f0JsxWesARw9e
VyL1BhyjzXreHItVfQzIcuX+2qKFhfkHt0TvSLXQButX06aTrl78IrjTc1AmQW2WfOIjyZpJ0UMz
uJ/wMq9IXV/XG71m2y7AYz1kbld/W2nwWBT4vatCRshvtU6C9e0eW+83r4A6XQbiznfAW3lr/EmZ
2evVWZIBibncH6c7VZl9IfzHqRrP7uSUSdTHJ3QFDEkRdXftIDIb1c6pmtunOtQic7U90SUGMNYu
UJHBRHOQEFDm5wYkGVCn1QVbJGYHs4O0maPaT7Akj6inCZLF2/aaugL9VPF31YeXUkIGd+N5zQg+
QjAVaH24mktnPei430VzVIKXWu8WyNO5M8Ftalj5YEFaGt85sKK/YqybdqRXJ3CpIOW9Cnrt0C37
YKYmbakMd0W3vHbK3enSfQNSXu+tX8Eqmqcb8M5Pfjhdr5HES/06JxPZKV7mk4yv6l4d+Fjow4qH
KJ1XCkCIuPsl8n6uXn8OS5zZlgU5hZGEhpUPja4abYe31ZZ5BE01GReT4hMcvknwgEUD/tAizFg0
oN81TtNS72A1HFwX51GAmyKq2zgLG9Eiahc99gbFNyT8aDQOyjqgMp/aCIlXxBj0Wp+9YFYJ9KmL
Ymu598n83OK5hQoPEgw0JEgg30nwRruDmD2hEgh+rQvjFnenymVdmcTBsJxjv6CXeHN6HWCyezWq
1xomMDijNpUre/Ii/Y1vPrHCuZCMyAVsVriHE8TbrXCWgyK2e8XUDt/fD8UHKLqxfB83O5pxb8rE
ZlEjGhhmBVxr3HnnebOxEVu70puxrSeVBpvVzTrzDjgPiGU0vAeVuAA0RBhsM8g1Fmhvs8zJZp6z
zUYHuwhDfbPW8S4b0iIOb6rIxbtsM+CdWu4kHHkEzqs8wjm5WfXAPB+WzbyvHf69gZsfAo0Pqq7b
F0WzxxyB30ExPXhh70EEH6LT6kTHXle4igXMkBajUVpjLYFm7o0XtpKsXDrYgY1M426+2KhoweVD
8g3qDjVD/WfsiDLHovZtlo6XOwOAglJQqDTA//rSeXUHU9xB8T3jNEdi9Eymal/VJITpY6r46OqG
DXDCWlnRRNUufCAOLm3NYZgP1fXfc/TXHL11qf/3JfyPjuX/HKW/StjffmsJQzM7pEPMqzRCyohQ
/J1/jNJQAX0P6zfqXglo8j8ViKHvHclXtPKEvwPxf1rDwXKhWzD0gn/my/6CdPircBii1AdjNPpB
Ikzz/hfh8qclfDSzGTq6zEAGblVJ8gVG059+KP8Hs4d/378zVIgJQCbaWJkIvTXkF4aKzlETmMiY
C7y6Ux09O+6FhXcjOXjFLU7Q0cv/99fzfxFDAYn98hW37+hP/ybfxqpGbBzCAuyQJEZ6kyXLKP0O
WSE53s1KxqdJh/0NbZApGumO8mXIh8IifKZRYJFzvNW+W3SuH2mArXsZepJ5owySIK6uQ9k+i9hv
0l6575PTfDLrvIoVFW4IOMA+wAHKS3yes1gw/wV+FeeqdbqkK+vyQBq6HxeQoUjzYYjra7kvFivS
GnIDBiwTwBZ0kejxayhpMdye+j6epitEMMCq1/CmhwK/JRSAdEWMEWAGybngSqTzXYEAGkbD4CCl
dztVQYK16ShcU+MiL68k8xITOE/K8cpkEt+nNbi1UYX4+zpiVxr3tSZ7gksbUK5Fgk3OOwc9BHvE
zc/SROtD9LXaq681X24bP8XqzzcNYPiSA2AP4n8wHcyMS1uSaw2M50Z0KyrZRg1owgTDj8aNrykk
YId0131UH20DOZgVN47b3CwrffFa+FZbXVjCkMNXfv0TRVfvmJFD5OTI2fYECYEAW0B/rYs5N2Y5
LkF9664DEPQBTWrL9YxorokBTeu1g9ITzlfj5L4Mxs8JkfC8xPoUwhRPcKE3N7URt6LRexND1Vyb
kysbjEU9COpGqzkZLPy0cQITQZY2H3n0BNFbJdyB6e13vTkaM+t9C1b5Lq6H5bpFA9NuBJfUdu/M
mS+kiu9HozzEIluNzhe18/ruVLT1rRHOwzwJ8KT4tUjb5nGN8brT71EFwdejHFmsOWemg6BkvQwi
WkY4NC6DGWOE70hnsp/VtHOh0moaIyeO8VjKh1WQ264YhnS2CHCjtGO6t0t1TwvvqJCtRP/GK2mA
A0WheuwRcUx5rT5FMOFpYph2AD6tuIbA4aVeM324c3klQFQNBBlPnGBHFB7QNMDgRB0MgkV5W9XT
mYRwEcNub90wbyN0QNjiCujsAWNDMq46A7VyA7Ez82fniLft3RKXGrADAjMBgdDEgmeixi1k1qVD
I+ZEhO1yaOawPapW7Pq6NBCxnVMzro+os6uSpdU3tZJIu7sZ57C/TQH538T+GzP8jUfxWcLch02O
XoB5VNj/x7mDUj7Fh69j5m+/LICW8r8uvd8/xur/uPXwyj8JSKhnQNNl5EdhwFyQtX/ceigwp/52
G/z2J3jV7+Lzlo/GeA6UEv+BaxF3xe/i89fnBiNQFoT4iBPI2X9JQMKHY/zbrYTbKIpQwYnvLnTx
qbT+V5/Tn+4IpFzEuEqL0auNXdBCdb8LpornW+Cji6zejU4zBokNyfQNZUxX/WjZnrpxBAMJVk+B
wpmsELF3X5YUwgA6NbtFRCl1a7Sm6PUtLPz1BlU7HzMdEP/lkGL6tngIjEPPYoJbs0xIE/QIVt+A
QceNUz3ras5nF+0zNYtPnfZPRHmfjV2e56o7RaS5DK3KMBgcWF1xzMeo+6m7oM94i0MdlZ9tZl0y
pijKqBIS0g8ekaeZOt+byfmYp2rIom3DgxZmEyG7d6w4kIdc50bD1888oDXJ3OAQmBj9sRE8GQup
h8l1gv8FqiQzi3yuOnnn0zJHRRL26QUu+mD0hKzB3pTnsj7SPrgfRnoO2uJjhaaxiFvqoQohUM2N
2OoqLH/phgAXXPGzEuHjFGK2dvnnUpI+q1v/Du1SC2St1cVuOD5JRwO5NNjZTFu1aFvCNowjY8gU
XR66Uofw9mdyGBF0hwyBYBL06ShZJbS/DtN2OuJsyB2wLYg/lIemIujUQLLbGIffh17rZxYFSAlf
cGV7NaCdUDrBGQGVGtf4DJojRsBtBQApR4tz0ZHu3tjxGLpenalA1ztieHgwCL80z6J0ovLsj2v3
wsHDodyoG7ALtNOa2gBNE5OtZ1AS8SeycgdbTZdKK0BS3agjpIpR+vJdbRnWrpWRkzFchYeaeMUO
MWIPVaa1TceVGXAoCw5FMstzt/r1UzzHz0rX9gD97HtTWxx0U19fZpTjIH5v1M5f4kcm5mOA0D/4
MbNvMRcdUDb65JjCy4w7B7kFH7YHylbed2QLp4++uIyCAVjAzzIYp7PFpveIJyBKexKhpG5o7S1g
M6QIzdwjcjb9GH2XXkWNj6uJVx+9B3NwJYub18y7cWJZ6MQ1Fj/60Esjps1BmUIdfEXbh4EO7WWS
kXhs/EVnvQcFbSL9o4x1pjWF82tgiZaIolgqGhz2DvKcgQH6IZfLrFmROkA80w5KSx7W/nylUe+y
W+oCaOLivtmiT4dqfkbiC8ky5GwwAQIGLQlbEt8SB9IUm783HIiZWIciq2Mt9raXzc8mCMdDi64t
iAfxqZkre4A5i1lOb8ubWlHmSkOsx3PgQQcug/gcT8vNCC49YSDb0kjC/OXdpNCVEyOE7ovx7MQr
iDUPE0WDArDfxt6/76NtJfnv99H/697epfrPu2h71R93EdLFEToywhgnPWCLf7+LsPZsseRffVBc
RSi6CPCRWiAGf3NA/nUV+V4EpQZpZYatDhHnv7CAwXD9j6sIXKyLuAICC2BByC/pGdmHaxMuxXhx
2+CxkeODP4ZXHRnvGttD+J5IdSpdyNAeOfBl4VnXNAWgIzqn2poicQfwGcDxTIaurXuXrJAE+8hL
ZqIR3F+9O+0ih0cY/i4BlSpvEfA7slL5W63Eg4ogrq9Cxokn7dkZQFV1gvdQqyYndWxYZBH4qbzd
5CDE4oYbV3SPETzSczSt4pr7COdL6g8wEqFD+220JyM8zHiS4AMr6B+rEo+ViGFwOh3kGTUehx6K
WqzLfGxQyBWR7gO1jc+ovHOS1g8PMnAenLWBSDSM53Vrt1rD8gcqbXkyhGZJlcRBqsDfX3tl8D5V
bypINSux+BRlNk8GFZarwTa1NG0mWttk/jr2eb/wt3lFxhIy8rvR88nTKKFgLv5BaiqOo0Kg0Ylg
t4jcWa+N9k6WxN9DTo/S5SRhS+hmLAqvValu6w6tImTCBiatd2moapPSNbmHjpFUB9GY6LIcj5Ha
cOmiu8cwT+6YU/1EFcPdKGL0WLVBCzmo8nb+IP1kjCYPCpgyeV8gxtw2ikPum71EYWPy6+oIehb8
MBBEHot724CWdVfj5UOA5k2I1CD5GSoRKbSvvBz09FBqF7FCj72UjuQJTqI96LPT2ESPhK1vnlOK
PRagRMOI4FPFMulXCNWiCg8Udn+YwaGlVA+nwMO/ZVXDngUwEJrCE+5tT7R4QLkMvjDkwr6Rl5Uo
JAFnefQnZwuGvjFZI0SCHRrxXe9VDdNZocovc2KCbto5+LCz+ZiiZdmNGuHPYYyLQ2TDHx3eoonE
t5I2sM13NbpqQr8cr7rYPU2cf+tXdrUOuNVDWe3l7FwPy4KqCzfedNkCi1RToHZ8HG80X/H2mR4r
YJRDheC6CACwgKt8KNYAVI1vXoYgglGAmSAO5Qm2NHy/hXa7GPFdWoZPqnIrKASCYnleH/B3ztdo
0ZlQbyZlrkuq0q8qu0mhk9Bj2y/PBkvq0oJmXkFewGurdFqRPxhHIU6Awm1qnQjxvqUeUNDd6nS1
o3wt3aI8CGyGtxx3CbwPhJHF4iEt0T3H/gqKERlYCw4xGX1Z4xfUCxCt3KDJrAE1tWgfYDJ2Qslp
lSnfHN01do9DXB0jr2j38CNIMtBgSXAsws1AA9bI9ZrIQRyIHg7coYhL4HrlXAN2aB34nSHRKZru
kDEgVZQxDLl6g8wj/BeHbNw1S+Q4PXmWX4XKnGSA9CtRD1M0GZhi3R58U5MIVK0novFuJmueasRQ
k3apbjti7hrkVGIkD8ZufR0LArsNTctJJ/kz2khPxLqHZRwfdYwdfDACXSwSogtr7XUzIr7rKrnr
lnhMfGXPBWK5DTSW3M5eHiFW4htgTstoPklYfK9L74LKV0Qd+9uBRyjqmcYfRQFxwzTra1thtCdD
HIN27r6PXQRXbcEkqn1MHhW5sk6/yeV4alBJjOEOgFyIeYyKALGm0EewCmWa4f9n77yW47bSrn0r
cwNwIYf/7O8GOnczi+EEpUAibeSwAVz990CyZUpje0rnPpiqcUlUk2z03m9Y61lJ+W1S9u8VbjDY
/Psr/FsaA07A74GZ75IY+Mp31zjIbgs3rk76BrPPH1pKG/cJSsvvQss/Wkr7N5Q2OgTkJcPhqwjq
j2vc/g18F0on2hhEE9qvBTEgkPr5Gvd0C4Uo7z8rGd2iKvhh6tj2KPEAXSqYDzgtBcyjhAOpEHbB
TqkrN5kz7ZTWZOoS5zc0kljaE4BasgZVOHWlL9JuPzcaTNy0TzlM7BKMxBT6de1KkLDtJ5mPH2BT
vlRqfZ56Yw/i2wWBJZrALJn9VUggvGabazkFLuDfUU/RUdXGZ5vV8+DYrEMM9cZTWdxJN7Q4oZtH
dXTeRhNgVSqru1wH86HlwEXgQK56xZmD3KufzL7q/USrqDsUiQKhqiCbKJuizno4zM1WZvj+Tfw8
q7bPD/HsyMRnbcfNj39G8eGCvFRiUKabFJbgsBGjJtk8lm1HU1GnajVi8zIj36t0Tn/pIY5qQDm0
Ux7odCDrejKCAX/SKlPS6z6dkH6z4cpLF8Womn7pHOc1ZE/CTMll3NpdSJnQoR/wgUbpLz0GoMpU
3jmjlq20XH9JBXLS0Wv0AFb6sMY8dLTDtj3UavGp1uMUgb6ISzWwJogkKzs39Zs6wzVXxI7lyym7
V+MhyJx+WrVjpi4d91OBfQs1RnlVzWN5ooGf1pBAg8JBYBlV+0KUDLnbbd7EG+E5B2qqJwcqIgwC
Y9qXdgq61FT3Wp9BcuHnBhUJviC0uZRUgWCc7+eRoVlyGBInCip+fStXg64QSiO/Cl31XmCd2eRM
VFknO0cTXTpXu6yTD1mr6ILpM6uJAOvOedanG7VFWK/acC9SUdLOVOpdNEw32AkY/zXGVR15EI/1
HV38jZU6+1DM22zod7E6t/7QRRzO+RVIj60+6hPjA2AhOe+8rFZxakF9ztNHyynvKTS3ku40V+YI
KHG7G/vovirmUyOTuybvnxDP72CSME8VcbW2CclYtt5bHH3WhtmxjnxmOtkFzjvecuAUffqKvYXs
Db43BfxcwDrX2tk6MNHZ2Rqz9aI3MHwLFY0LTLM5Cm9z5Gn7yeoQOCvmXdLLT4XSAoe+b3rEBV7t
3URx6leMSotqPjS29kH1UsmVmG7bpNklhI+QTmCckzZ7yfsoYcdpb6puoivGyYgBN1lrCjLiepIf
vVBjG5pLf7bnCwXUFfKWR51+tGwVqBmjT1+C4kK1fTVM7+YovpKa+Vg38hRb2gdRq1qg6tOmZte5
TjLlEqreNs2LS4+QeIVm59OAriMwZHjyogkC1yCOQvDX2OhjdOzwHOV7N+pPFC1H/uYcjKNhHIAg
gc5ypdA3WC5YPs44lm9jeh4dnWP0nC4mOgtzWWOpb7PS7rJkeG49uZHeEEwu34LhvnQsGfPeVNYU
HL6h9euuMzCcVk+TA/1MX6ZI0rRPrt7fulotfG2UOBEb4ynpmz0jWIxeQ4gF2bwx0mgPjv5GL7xk
Pc3D2cL9vB6tAvFA4+49/JZxBoHIzR5TPTuBSHtwikpdAVa+7WLT1yt8tAWBBGoPHsiE/MN7kVfD
ZzPno6Y252TQmefl/T6asDilybATen1EKXHLQ3IoeyZScdNdweXcDDi4eKqGp1yv/Tk2xWZoVbZd
8shQ/qgY6rJeUfbmZO7UBmNiU+/zWe7kYGHcyU6j1207Md90QwbiJa/PmD6PY8Uj6zJDyVvxAMj6
JZPJlVlb+64xX1ukjnFp74nq+TC0yZ3ltvdk/gp8geFmsKjZBpcVCSD0nCXAjH0HNMdp6opDQQoM
YwN5jsvsmMzFyyiMO0+ghdBBsWtlra5TW92aQ7KBOn5l5eUxcdy3r1fyv7XJMpn++9rEfxX/uZRN
9/oXEwa+8HtpgtND49BmuPRNbf2uNDGXcGboxyZmj4Um+n3abbIYVrGUqDZiaxgCyx7z99rE1H4z
XEYCrHZsw1ogn78yYkCy/W4Dy4AbPBnaHsTgqKwpk/gW3u9DuxCDpZgL/boox52aJScnYvQ4TP9r
8eoyuX/3Ql/pHIg8VY/FNJEauLx+fCFg+5nlxpm8tizQv6hlXDOw5n6xoCSrUucaVSTjTaqhK2/q
T3VWPTg6bP+KTnAtQdYHWaNlx6GxPB+lM7kTE9ZODG5s7GTzJNuqWudujMZ4IWjGrbireME158J1
qSLd0JwCO1vNJ9oF0bw2HPxz+ewe6xy3QqrStkFDXubaO+yrxSa0hw17is7vITz5bTYu5utHxXXO
MGyY42nGEwdDuR5G6w73za2SjzAXrEuXqAOuOFa2RLXsgTdfZJhHFEvaQxi5XNsR9kU9TtBQD90N
DOiNNPtHz21e9ch5ifLpuZk5JTKcZT6ZCtdWEx5t+MYbx+FK88Jm28bLcLhpHko72iWuiVs2jo8Y
jD7hc8k2Q67iBxkmJIXlWPngClAommWx0br5RcvzgfFremW6zQajL3T3yvBrO3vpHe2haaNzObJZ
LLXpFvvJ1kJHFtmRgpYGML80jYS2EwZ/rFt3ylRRanW1y9j2xety9D6jj5wTP1Bv4s9jJuKCCOT9
S+ET9G/uhPheta2zMvTWnklRsUDw1pozXXSJe3tqzZVEF7rJNHENjDvdcItv59w8Y+3E2K+ZW2/g
dxvLLOaCYiJf1d5LAc2aLuwW4SVK0bn9kNhMASLAzNR74q6V/V6zsoGRvPpZJWFtFcnpg0gSazsa
85U+0sa3cTrAkG6+MPT/onMfrrNR25XC2zPn09aZlNs8s25yUjZGp7RPjjEXyDOLz3NaPcVOG69z
3Nv2kKW+WTvZTvbG1sGcrBOA5RYmiGgeMUYLJi4kbYzrj0VaYmadXYVb17JHrNPqyOUKP4KctJ0p
kcSh99xorsStUDfjQQiLvnZC9Lhsa03ji1S9fWJpm2EuG9rxrBo+ZJaR4NKRGoova3GY9yObiCzV
90aFnGLIWOVE3Nv1x9BObrVMeQWmhNXWa29Knsb7SR/ux6jtmGNgqZSZtldyKw8KTO9uI0p/4UtZ
CRvioR2SxcYgn+0UUMEYVSx31HDdVuOO2c+KRcoJRSL1YLuTsnsicoSVq5euh1QFXV+eM5uPrFFk
1wz0gKMq+1nE2DSjOA7mcco36ZB8sSW3VypTlmy9dguHBJxZ95rNkVyPyDYKu3qSTcCwcR+bDbR8
ZTfZzscxVV9mCwqII/BbT+JFmHeDbHdT3x8qmg6hUFLiTNU3qurHnsnmnWgUaZi7AeAcsmIs6HM1
bA0n7Sg0QTZGg/lSmBo6xFL6odI0wDEqcLTF1VTK56ZMgd5P5geintxzpRDKcU+UzDpyzSbcoSkB
FffugqGCWCL+/vMu0u+nefByinJdmNgFLdw3mNN/kq+0LbSAcLKna8kaYWVuw8N4V573VKPKx+Kx
CrI9w71VeESA0fvp1tj/8+sv4+YfmUe8vAfXwNIN3UK48+MhzpbIGhS7n68H52MV7j2Vjmt8Ucp8
9euvg97oq5SJna/6U7/sddxZCWz8ay05kUu1EuLVi/Y4U/7H6/x4+337dfL75A7UaBwYQP7489SQ
ja1ei9Vr2zo29lWFlCb+X6ww88cZ/u8v8u6H+elF+lhVWz1bfmmb9gMTzGDYqV9cJBcrVnU8Y6vb
JmhW+UbfPVxcX6wuwznZfGiDMLhJD3K1A2N96nz+ol9u+F/w4Z9/1/qPw4lv399ismJ9boA++nnd
Lcj30YpJ1a6REV7CGyi8Z+0xOhCJo6x7f1odnrXtuL7UG7mz8NgfgRPdYCvfyJVYf/1W/i0kF2Hb
3xeSf+Z0/3cluXzl90pSpfJDL4eR5o/g0He6CRLEWGS51tdxFdXXH0MuxBHUBjpuYhTOSAb5oz+m
XA7xpcSMepSftudQT/5KJYlB+YfTAd2Ey0Cdb2FJoEfNqP70oCuQCLNmFOVVj+x8Pqd6ZaUXjIQp
8MwuF9d4T4dunQvrYqHYRYr62YzQNTR6DuKVZTvjqVOtN8+opQ6iLW6pDP1OARZkpOHZtaxzNZI0
VjhyGxlD5DdtdopV+TiD9vSSdoSwoZMuhN/kxormjZazuo9RBPdARP3FeoMbIT133B+j7bKnNYZC
+6Qr3E7kQ4mNjAYX+LZjNMkBpmUX4TNQTKKvED0gqquM1EZEp+IIsYdq7yROvq0d72ALfD/3Bgzb
BOmY5Nj1vCg2T02atM8peBS/H4xc3wz9gGGt69Oj02IuWQsPm0rgNNj/vdZt0l2GbWMO6gaTdZBb
i9lPyPFTj2V7JaG/OpxUuGwX9hOTvCqxOYAxaTuyHm9SV8gNm+9zEqr1Wm9RMFdxEtRzqDIgMIIy
ZPClhh8UyAedo9wOkDKLQdLBFv6gdKdRWlfeYKOuqOCyC/2WWu0j0ukjsWAKbp7+TDnKpF+pdm7M
IqzxtNuhV/ZEswXI6y5uVL3pBmeYIncMEw7Eq+yisD7hgLzk+njpy+YTZIZbLxY7PbUfMnTWseXs
Qi26splrgaWp7kQ140ROfFGpW2m1t03n+sYo9xivH3PHXqke6yO3PQgSbxBGGzpBqG8FoxVT2BdD
9oEsXXSK81or23OYtNceMZENNb0D2LJCKF048WUu8yvi6VaehXYcnWk76o8zkolBT1eYLi68l+sq
lRtyGy+A0y6twWLJsDZ91x1SK92iAHzRLSJCku5cGd2nqHTTYHnrIweaZwMVIte2OH9O2gCIovfU
S68TglWnl8ZmWggYBXfEgxUbe5Eu73Bf+lWW71uNJBzScLywfvXQ6QyFeHTS+KFUY6YbyiasrJNh
uhu9zy9qSnaCPWknaY6fBr6JNdElflZop3DAuuJoGKq6U+RoGyUZj3KM95hfsaFMzWvj6LeDN942
U8ZQNBqsG+R+28SW8cUOTezien7VCDXd52TOLabxcsGhDvy+rLG+ong/SY1Hqid4SAytsq5tWflV
632ZovGijqCCc+ME1PZmrDvbHyuMrEI4vlHXL1068fgZNjr6cDvWw7RRjPBlbsRZeiMQsLy/xw0f
GIrB4scEQ62XBEJpWYEBK0cgr8RIOapBKQI91s6had6aTdKs0Yuyoxp5x4eUkKpK2bYmU3LwaLjI
MrbUrZNu6lE7d2m/zcJoCSOkPcPhytPBu7Usv7y+va5Rs64Lsz3qxrygS1qUmsxnwuxk1MoWQ0SQ
gw6qdB2aUJ1/BnjDmzErSBdbpoIhKQpJx1BUuPuS8BqfyhC5bsa+K5yxxEPqW5eAAtd6bKEATqpT
ngDWoW5d53r51DkmQl2d1kzJ50uvGWf6gS+2UZPY5+q7sCowiy26Ljx8t3ahf+g8+wCof+cqvdiQ
LAQlLZFny4MeMpicALkCM9SrCqJH67BfyaSqN9BwT2XNgBiQ+BUZXw+DDVEGr/59ZFs87zjyCoU4
Aje7gowDmLqmNjGa9MEb8mKNrAw8gqXIE3kH4hjTw/97938LjVmSV/7+7l+XRdd8/A+ghe7jf9/+
y9d+v/21BQsCFdH7nirz/fZfOJhYH3/XnCw2gj9vfxZYOtp6HRH/gid5f/sjXbHo4e1vMhbvV25/
lmY/3/6IXRCr8G/aVBNk3/xYS3u5A11nsIYrYF0kLQLbKNUDGx2TISXBlMwh84cpjVB1jMrJLVBr
pxbrAYlJJS4UgIVdSgfaHTN3vBvU8TSFqDqq2PZWhDAx9UxmQgq7DzKfLk5u7K0EQpkIy1XttlfV
iGms4nke83qfzMjdc/pVGbKSDh0PG5FhvBksSpD9Ls7xJJvWJDbpQZMpiLhc0FhpChdNwAr22vh5
sln4tsKcAq+bcl9tqnvTZmVv9grw6IzpUTWr6wk2honEbd0U4SMwZIRcNhIUojysRH6yIZGkYZ37
DAc/s2Zmz2YnTzaBaDimAKLBXO9rfLrE/j3Zkbl1Ha4u9jab2AWZYrT5Toet6OMV45LCHjmZA97N
Yfw0leGnvBsxZTBrgb38nKiMzHMz2wLz3bvkuW4Ys9M0DMChuJm/RCoGw1ErnipSNbCzDoaP7fjV
XlSobTZ9TCorPPYWGr6GC4BOHNHqol7VW6fxTVIr15DoQNovKlcps6Nm1cOz6w3w+rnYu83S8s6m
kwRm6JQcR0C6oH+QUBjHEAc9dG39onCbFq1btqje3EX/Fi5KOEBcHrqMLA5wVpGlpSZhUKhtckzU
UkCuk90dDrr5A4qjGOgXaXRZK9QzegwHbn+WPZcN2oDEcewnJlT5bdto9XUMVnBPEM54qr0QT8Ak
StIUauJMFNNMTyFO1iUsETdAMwudcboafhrdRHF9QkvrfaGrN0gGtSCOZfWgTvzit6Gr2y8KN/ab
6YqeaR50BNlNCzHOXU+sCVYtfpIVKkCemyY5auAVumnmty6DGuxCC35BbeEwKHV/aRYyQ7gwGhwV
Uly/cBucheBggnIwF6ZDjUEhBbyA8887krKJFnchQBQLC8JeqBCzmUHl0yBFOAszovyKj8AY4nzj
SUCWKBfGRLbQJjyyOvdsDDEMLCwKxYVKAXDxbVw4FUQ5+uNCrvi3kUNWsExc/ukw3+fVa5N8FP99
kC9f98dBrpGCskxvPCbvv0MS/jjIQUlpLAocCObIct8vBOBFgYTC94UcEIgTJ+yfB7n+G7sFy2VR
YPy+YfgFzaG2oKzeDXm4I2AVc13w49Jmgu5e5PHv5O9OzL53VOrpPBpVpW3QpDL1rhzG6m/qPBcW
+RCow5DLGYnqzLvSzhZpeIitIoAOk92GerzEeYTgRzS0XCvD1j+zr2vxZYcfmeHfURfl1xOMYNR4
tr6hocUVbKrtubTtt7hyiQnIOYi0ok02cd8bOC2TJuhwi0Fb0qzT3Lf5XilER0ZJhs4HUh5T2BRn
1aVSNQMEvndK7S470rgVPtaQacPWAMpdzRpdMB9fM45vVjaYo4s5TIfMSk5u2YVHqrJskykesxYP
mBeBIDYcOgSYm9FzYv/r8r02xgwPjIPSYcSsBbePca2pPAvE2JU9FgeMOveajSs9zE0CTBNyXCJv
Ui5Nan+WBWvGunS0LUfx25ymLygi2hzBoJbvZeiEpwo3z0OTd2g7mvgctQYAuDh97ch/fQY0qN7M
4Dc3gy2Q7LeCcnRargEaLQ/IQqgFtlSVg1mN6skC5bpNGNUDvOvtU+M4N66I0jumknsZT/cEvRer
0izMreqWN46d4xsImwKOlcmNXEKemzOkoqaK2HCcMuWkxX2+ggQdW89DFe2rUDWyYxdOGob1XJlA
9s1NYzdXMe/dAOMrOU9kq7JiiDAE1euUf4nA2oUFVrleDUnxKyKMpbl+r+gLOEwfMnbtAzSx5CtY
rJxdprYIzYzwykM1sibM23sbNC876bjnib2a77gV2aD/e3p9O73+sRQ9fcxe/+Lkel+CgoZiRUht
52LRAQ71bpUJ+cUzyRtkvYf+6N0q0/B+swh0Yvr0u6WHf/CPAZT7GxppThzkzbbBuvOXSlADn8+P
J5flMN/CAOgybYUm8/M4l88shNC6sK6yQURHJcrr8G4cgUcgBkmyrTSXPsthY1aTV0JQmdibDUE4
Vq9YuyxkrZ7ThZGEqHICpHh/NuOCMIbbQNmUayfXWmAjGOOIHCsOipcidJ5ZeYxC3RAoywetyzbe
7L5aKTONYZKRD2F4zhE7Y5cb5TEtxEZxh6WzTvtblmo88qP9IkbgDm0ae4HU0q0gpXYmwEXq0W2t
0cOpNpVEq1NlFXmz62btAv/51Qn7m8Rwr7Ag7MnDuEtcAkLK9kmJ3OpYhOWxjtk/xmay1zz5JLpo
7SoxOi7rgRDsEbcquUxmZlR3Whs96yoVqVsFqRo+G5742McG3Jehpt7qBnJ3l31lQg1oGAblblM5
mGC8Y00tucoa/UhRdqkFIxQnjc51Tt5b3F11c/HGepCk864kJQ8bxRRWh9zJHBRa3Q5gok/0HptU
3Vl5M472TEdjVhkEZzvTYQ6VJ7eJbyZpss3tUlCtjAJqp50Dj24b6gEbWS2EiUoEpS7r52xiYFcC
TbGMZt5EE0nLURV/bik411OlWX6hTVtbSQ6Cs32LoPhSVKZOwB+5v0nTkBAYm4HRvPX2pO7szPYC
Di0uAoukbEd7U0YQ0DDWMFr1tAwJ+TKDU9+7jaucFE/sMqsBe9ruKIsp5OD1pV3lrK0IYwok5Oll
KpjNROYXx2pxdDGsYEw1P5tNdbAi82VU55uaiBYOs2dZhQ1y+viNDfW0YRXnBexQLzkSwYwSfNWY
Wst2R76OLrMM4L6ci1W0SfX+8wSEb8WUf+MM2WdSl/nztKmw+gAr/jQgMziN8IUXtOoYbTu2IoKS
dzK3/Pz2Lgc6xDVuJT3qw7xBPtO5DhuznNPAR15JHBFTEoHsmd84ed0ZyDDWEgVeJ09Rk2kVZkQ7
FlUc76ZBvZr5MODoTJ1tprgS8jVpjxDDD4aRGmuTxsyo+Zo5qZSrNEKv4oxqibxtQKeNMJGYUg2T
EBvncU82kwVXv0wOrjuCZxwsCWYi6WBJQ7RWh2Eju/yzq0ZX9cCym0PqbPS0eSDmbqbWgbEj0ktt
V8lK1x6la013jaZkz4XGjEavUT4b3CBa2ABgo2ZfNbaRBYWLF9rsutVYVFi7NT6zDL95bnRPIVGd
Jasm++GSmyYb0BKHrjKd8TiRe06qVM/VveoFQmU9aT81/TJAQsE4GM2+sPFxm5Z7ANRjHbQIKkdZ
IeImzbt50Z0aKX9BfA11u70yk7pbtIXCT/KmwnQtchJMZ/VzrelPpMiHGwbH2AIb6W4hRnMqZQIi
Y45qulVSdTtkMDM0fXl/Q7BRsxkid4q3ZJ1fEj5R2Dj6Q4pNKZb81KpibbSoPGokZyc5qZmlJ9pV
Ojeolzx3PS5jX8PteYdmwU4/23RpPG3yIr+JrYRheopmtXStI0IzNF+McBMre1YHzH9KezdncEKE
aGguWdsStHzG/EyMQg+ONHEaGNTVzu7bt8gIY1zBZc+8FoOGRhqUfnbH/D5vU3Hy4uEajAokbTPx
YC0hC4yIF7XS7nGyC+QJ1bEP3dex1LWVKPNDl0nYxNq4ZaNy92+F8LVC0NFU//2w6lx+KT//d4mw
fNH35oYUFeJOoN1iwGebyB/90dwszEmMvQZbKsNmgUxf8fuUCkmThzgIj8wS7/heiM2faC47KooK
T/3qw/qVIdXXGdSf+2s2VIzJFvwcXA36G+Kgfmxt6rI2OzdO4+sa1b67qzOpwN1xrjScNOitIyVU
5iCrSmlDrGbGQ6Ro4uCknzqsQRtXzbXuTtpa5L1Jt901SmGEH5nfp2ogKe0VpsdmGx60OAWWHhEE
EV1jqk/Y4NRmjDlf6/URs+NswbVeC9AsXKsOubCkAEy2DZO347M2rZoJrAInd1LHO4elN74Q0uJX
xsi2aFdHDWKKgjS5lV1L0VxF5nIj9UTKOEEEwB5jiouUFDyd8molaBH/ffS/Fcf/+OgfX5viv598
7f2T79CG2zzyNu5xjWL43ZOvYidA3wch+uvm9t121oJ9yLqUCC7WpngJ37X15m/wVzCG8amwUd3y
efmFtt7hO/uhq8ce4XLj89nE68Ws+CfphqNVkUoId3dxWpxbGf4CnHixLnwuHY9L1f0IHFBuMOAh
UwL1aSqHvHX7yfMdqtXnRNf68CoOy77em0lb5ZQgqVSDSrF6B+dX08jrQlaXysiSe6WRxBvBZ3I2
aTvDwEDO9WIIC9JWQZlWqaHO54McuHDCbi4StrNzvCHgo4382hobtOKhkqdGoHWOaJ/z2E5xg41i
1sfZN6DRJQSQF2OiHfIc495dNNOfbpM6XDbNiKswpUWqnzhFhGicTRS2wHSrZIBcZB1qXIy2Fsix
nrcqBr0PzBZ7bZd5kz0HRttPEQhXbx4D0RMXweBjORMKs1LavVrN9rmf2pitnV7ad4lt40cgbSEN
bCIetho7p+4uM0TjBbZZiatRt2OdNTH/DRSgfJql6THUrqMMJP4Yl86+FrQswb8f0W8fUaQrf387
ncr2P/+/iF7Fa/sXn1S+9PsdxSeVm4huj8vIALL+5ydVc3/zTEQUJqwJ7gft3SfV/A30BNgKIr1o
MJde9Xsbq3/9ENsq8zyazsVE/AufVNrhHz6oLFBUEBQqLiLoSyxtfryjUtehqiu89NLnwWxhVom3
Zv347hdz/Rc6sp/kuEvL7S4DPhQ/CMmpNfkdvB/y1SHdrzWjz+jKNBF+Cb0c4mNDBk5o6FmQGojz
S1oI9MAu5JYqRrEwh8eBLu9WreIbkbhb3YqTk1RVWlRNsdaaCzRNaIm6ViN4ynq+74cY3T05B712
Umd50076uZ7L44iZhPPnoKYZOZvDAiBTa4bgE+wLJGYT/bH3Ba0ky0pC21dph/xWiP4t4WxYoZ4A
aogUzWO5w9ePDkQFDDvY+qUyA12TQFc7pZ0gu+voLvu5RE/bFYwtdfNDaHjO1hGW8aLnSrtCzE+9
q2axHcR9XYmgnPBcwUkiKdPN1GkXeUTHI8wvOoaPhnuxp3aiouwzZCM2Gw5IqpXhfpj12vZFrYtt
o8xw0bVSkiq6rsDxYzDsrbybcGOPlnKFBFk58+9XlBakaSxRq6VSbF2KWt+GfbDylkO5cdyEmHYz
O/RjbbvXvF5rvFhT5LCinsqhhBFnkBTVWON1rKV0xtHkHb3Gdg7E8UbPDJnNR3wMnPECnD/G3N4k
C4oudQ3wRM7oOAaaZzbh3kNZusbK5oQLlF5dnBRjDCguk0RNRNN+YAEDrKQnB4vf+YnEoPZjyzxj
nAbipkdXX3l1slcQOwbcigghxCBv54HWQsWACSLfu40mCwllGie+OxH4VVasN8bMZLelcfskj24O
JZG3bvDtOpnBKBQ68w7ap1GMycGee1h7dGbbrhPauiCs6dLGg76wt9qtbQw7aRakAI/AlgA4aIGr
5GdS7c9D00LwbpIbs7TYi/UYp22xKxNo95GhXuNlues0Z3iIhtF9I5CaEUzm23K038qk96289bOw
1u5Vpd9EdrdBiJQFHgksmUtjNNIgtnb1pW271yJpXif0DTWWNlRFB2/MNxwgzLTnLb7V8+QOvuF1
Oy7504xTO2qGT6rVMylRNgKHqtHUq6afPheYO6Lyc6j2mi9tgeNp8dZm1vBs2cknMdtmQBRPe6BJ
jlDLzyc9R94b6WdWn77ss+eKt6/tgL0UrhNAAdhEurvr1fl5DNsgykPs72q9MsKI+LS2UPeppaW+
NtFzOc41P+OthU/WH5M5YiQStmtzUJNzbLLrj0P9phNs8WTdHSN95GHutK2oyRTLQoenLJ+OHh8i
FXed7jXslNyTWxkngJ2PytytM8u56/Xopqirk8N/D7p3yvvhJvYYyOhVoIdpEkTRiMwZd3/K5m3d
NyUE3Ea9ZEr2UmbaC4X2Ab/VsRTuIe21m1lqvtBBpAtxtkwChkQ9HWfH2VUKdbUbT5/rzNn1Hq6c
huY/xpg/zZJcvXna1zPm6w6eZD6F7GDjQvhTJArfGo1sW3vVNmyJOJ4npd7888n7F+sVjT4G3oSF
WI4/dX863+NJy9vJFsmlrDN9cRJPgTNMmY80X0CnNSTg93ATlXHOuml+1aq6vanrTL13Z/wD5Tje
9k16UkdSGDwHl2a3hbn2hjksQltD0naUItFhiLUpZ55pESbrMgTDLFOW6GY96L7jdruhhKnpzP06
SdsPOiufgMRfg8A34rdFsZb1uh33WgX0rAuLrZY2W90cUGyTzJg7XyaR3xH8fujD7Di34lD3+smp
ypPb6t62k1Ppt1Oy08fYWqMWX9uhUm5iM92C4Xb8Vm1vzaknryi2D2rs8bmmWiMEnjCNtBkfsGbB
VLDpafRJvzIxNaEzYrE+Jtl5qEilbNN9Jq2tJQEPJaLehwVqJshuiPTcaKN0aWBF1UlEiAucQr9K
8G2JPt9xr5EFX0HFLaeWpXVzlaXiltaTSQ/UJd8ulITFvroKGzAORjv4OYKGVYMEBqcXO5Yx+YjG
kgwrHqaRB9RlzoiQ5gv4XCo/IJym9kyEkZ8b9hrN5U5yDhktLbXnnNQa60LkKV9CzZ5XFQtj5h0j
a90coX21nGXdKWGLrasCcToJBS4TKhbL2jptpyww4+gKH6MG9JSVj1kR/gZxrf+ABVEeic9ozqKU
+f6fH9Vlz/e+WV6UHEiiXUd3WSzSnf9YIjD7kWMz5Mkl7BPfSA9QBFb//AqUTO9egX+SVh9Bi0vP
9FU1uvQs7zaNhs020fWi6CJspE72VdInu6S6bUhJSRsoGHa98dJvxfHn8f9Fr+VflD5sHv7Hqy4/
97tX7ausA3+tKGd1Ku5YhLIT4P9wKz5FJrUHjsp03bnWox0a+4FIAjw+uExFIcu1SrzWumjmp1Jx
TnAR1TWBXjh3pfbJjU3Hz9X0AZefJI9tOjrCfLbDbDxowrB7nqaiDPrZKQK3Umpfq0gCJxhu2vej
Y3wqCzwH7AqMIEmSz4JnNahV0A2cwJPfAT1YD71315uL5VbJHhgQAs2OjOuYZFdmb7v/Y+9MlttI
ti37K2VvHmnReHRmVTUAAi1JgH2jSRhJkdH3fXx9LadSSpKpK1WavcEb5OTaVZIACCDC/fg5e6/N
pnTd1PXaaga8IoD3DDVU6OdToaRDnhO41qlLaJ606gZIxnY0Xuphzngy6peVEVgL0yX7velfq2aA
OlJGGE1wVQziepzjO6Eme7Mt6EsnFGuRD6IkbjFVWVh5kjk+oQHv5ZOve0aqqmwwCausetdDBV5E
cXbmhOMmr4dV789cweoqaYNsiU/LK+LMWZRz7Hh16p+VmIkCZKFagXPWCcYrzn0UcKUCYQp8r2GQ
0DHb7UYpI6bDXfFoBdVZrWaSks9MemwXjbZHgaQsetPY2vRwvRKcVT5B1fLH0evr7oCAU3hxae5q
fJcOHKsl5vBFZYpNUIpTG3vqry/xN0fGX3fR36/xTy2nAWxdj1JQOYtP83NyedeYTm8xNu2wc506
bD3LZ31Y0As+y78M3xJw/uO1LvOlfnKD2eQVWExTOf1/vNQ5jzp54gjlrPTMRX6qL8s1/Sc8rHf2
Gp3/zVFZnt71K2ws/SP/kx6mU3Wxj9b+AZlz9pu/5uPB5tsnYWBgAdJncYz6bB6Z1IFRghaHB/wW
pZEuIvWu7re//rg/rll/f41PIrQZ+7gShqSGFNVLUGMNu/j18//0PQCSgBBIE1OTPMT3aweRzjOz
jorNWzmvMJnVJjXntxXqXxcETtVfHN/PXurnl69/P7nLR30/uevQumiimZgc3tpl/OhddxnrgSVc
6BraG3jre3fZ4LgPdYNmGkhkYoXe99isPxCWGLSXDXKVsFX9ox4bdooP95t0QGCn0GWPWfbZ6IB/
vDwMRR80VCbJUVNFW+/dNipVQh0yodxx+LKlirjOJoR/cXWhyXRTDslcs9txt8P7v8lz/Ecsv3Hr
3IYTLa8y6q+xcNQnKraK8N4nc35htcwUJ071y6zxj8hoYs+MM2JEdJMtc8gui2Q6jkrakyKtP/o2
BH2zTk5KdT7PLYyItl/fEjO+Kc1iXnfOeDurw1ertC9xP/EExlxug9HEr+AUW3hdFwTdv/YFUIws
zix8mKq1Koc2wc6anSvCwNOgThT40K6g+V3g1GVbmJjLBBY5I2PtbHuL4VeWoHmz9AekKeNiKJDO
YYcABF9U/cqlet+WRsZxkXMvDCffWmVVeN8lVevlZglEXUqpZ8Q9a/jtODoUA9vGYLXhNqRrCRCI
gzbDPKZwnBmVdIvyEC+ciM1No2npCZqA4BJW2Xhn9bQ9CzubQXRE5jGCDrMktUE7IPPbV6PQz8O8
QLXTEIZkVew1BAc367DItBDtES+tx86d71btFgHr7DFwpXTrNWBAY+I3+xhU5gXiSuPEKWu8I5k7
NQF/Q15Fe2ErFnA1wBvJWh8S9AF2oj1plSE8oJMLu4rjsxBUEjMscikl8IMJJQLTea2a2YVgUof5
cSoY3dfJS1p0dxX+l0JVAy/DEZO2xAjQSYaarJzB9uBCwj1jlrBewnxf4qrRleQ0Hug5VPhtDGm8
aaUDBycOzmN4zGPXMmi3k3MznmA/MOk3mDqbYTyfaaaKajYZGI1IzK8AipZM4a7LfLogfpHTCtGd
VTYHz/OIadUHzbQoXVLrCwaXVBZ5uERo8WyqSCdg5yXLUW8bzwjHVae1UsJ4A3V/ZMqSm17U9/ES
ehcgUA76iL4yz1HNYouaA/+wE6zGiN9krL0INXdlTyWOOlVipEw3WWLf6DcT7GFPHVVgOzSok9pE
JFVybFbV9sTCVbhszVRfRRL2okJ9sST+xYcDM9gjmBSJhvHzxl5U6NNcCY6RmWiLBpZM5gdfAaOQ
oaCkJBaDm4kld0YCaKZeX2kSSdNJOE0hMTW5BNY4XPqqRNjkKjlang9xBNM60RwDhZFdJHvixIvr
t2Xz3/1DLtz/uf179lhHPxvR8KAf24fUL9m0fqk+ACfI5/uxfaBf0g0WbZNdQmd882M4aTh/GLgj
6RODSPhT9fRdv2T/IWc3go4wJxhBM/WfNH4RI33ePmD6EwYqdCH/Cp7w4/bh0Fu2LEWdj0YW3lbY
1ZYpRxMQNBXnhRkGXWVtNGh65qRwKHFvs4ICW+0IRSHW9zp2xJlRtLssjldV7/iNZ9sZqo2IbspN
KhXNBdLmQAGQ2A5R4EIzipUnnVE50mINwvGJ7ffQEEwJyrFSO942pI6ssi7uLlRkEF7RWVdDImvz
foLTT1DUmBteGUINqsbiepqUW4BuN6R7dwuVIJqlWg87S5mOYeTsWaBZLpvnejZQrXPLBJBbylg/
dx3lVu+b3AtbREd+K0/5EA46P3+dakB3oa6twcEFHhAfY2Xq47GttUdA3qNn9gYG1SL8Wg3Z7LUq
LSt3dFaB2g7LsgChmECjJI9KEdNuGAtliWDkROvsI+lXS3y/JzN3LFMxG8FLSE9M70/qvrwLVfdB
AWdL7xSOHDDb1sxuk2hGGxLPN209sDlq5UEDNJ+VxatOQnpfR5duV8oUPgD2QQapZYKx1J0oRf+q
wsb3VGWyYQIYsPBY4haKAhzGSBNgSgr42dBagqLSPV/nRGJSth/1qZyWM91oonsGYolhZrYu8Mci
psmaqZOyckgfWuYjJGEmfs/hFOxzA41T68ewJUc6pY6+cy1j23U1lh6UnQZnyTPUvVWJg97qsg0L
ITIeM812Rlsvm8YkYoaNxyjYFcOc4BuU8Qmp3Ek6KpgfRi/Ox8fAKoDtdowHCCIjeolQczKWmfYp
jyr5A8u6bw10uTSTUKlRnkC/5YNdOWrT4V8LrdN0MLYlPvwr9m5x0FuYNJoe0E223diba3hS/YhE
3UrFKu1tz8mw1NGbIXie6x/qkbOxFbFTquaWQnGrdvrt0GNYCsJG9dpG1zi76PFpmaNQDlwmfaHJ
du/3MdyAMRZsX4pMZNTUQzka+gUmN3sbJf3GBW+JZG+fJQ11S6U/cowx0TdN0dE2MENTpawnJ8MK
iOVLm6J0aQ75E9kRa72P7gsoGQzbk1UQ8n3G6ZQSBG0t4C5v3i1qP+lffDqBEGBBwSonwpBn5ehY
lqDvuhelMfZJCofomGY3ifgK6eG3jZ+fvARyDAupJ2ukqr85fd69xFQGY0P6qziSBNYl51N5nbv/
xsJ8c3vpv9yjztPH55f6J2ec95sUZxyVHQDymgnJUDKIfmxSKGgcwdwSga1Jr5Tj/nefl/sHZ3zO
MLgIoZKg0f1rOgmtWGPK94aO4GCEc+AfTCcRnPxtk6JpRw9bHnF0E57hxwsQWSvCOGEPx5YrcSla
xmU9uJii71epGxwzrYqfi6jPIWMY10ZL5l9PTNKVYw+vSqiu2YEFmVQKow6nAsqeklFhBzLu3H+q
g0RbjqldQ5XPLwUcq43qFv5mIKbJyWjPAy9+6ozoyurnuzBrLcIh2m6hl2I50i/fosrfGyV6+szG
LWm4+RqDzxWvhcwT6Fc9dKGnd+Q9xg4YRZ9hPlFIN8KiuM+T4GvcOGeQOy5UMR5DtJzo9HG/QsDT
Q1VdCweMYUwXfNTtYuUwKl7YOqtfliZLP8BHxLzPQFe0467CJVrCsAspgVG/NqsEVNuqo6hdGQmZ
kUlKXJ2RuVg7xXXtAtFHZtEZxqorGw4zVKz4iKfdrLFctXnogBCeb033a4bhu9ZBpDZA//v2ntFO
hF2ZRjJCSZBlExEdVg/i3xynl14FM6nZa9tQENiq4W2gMUtlt10CBawWAjVeEM3bWLePQ0TcNLLo
oKhvC8V86jq6l0WCZGL2JMOnarQdvf4LfTJyqYi9dPiEfJCDuNfq9ZCmh1q4l1akPiXjzNgOB8sC
dRjiXnu4yXTxEDvuQS+B4rQ9uYWMgxu4IfaJFjvXSmqA05nV26iPSe/KY/zW/k054uXolJOgprff
gP8QSvhl7JXr0uhOx3C8xAK7Vi3lHlz/c4oSe2FCZVzWZQDjX8IL9aZ6hSN8pXYovFC4nPE1nQ4E
GFUSoCxetdJckRiTL4ZuXpd20aBBia6KMN5asYNFOLA3c2xDwsyLL0ZuPUDjl7E946PoBq4vrYLk
JsW9MGrxeqdf8V7fubWBBZoZiZZae3TEWGPar70ChkAPjWuTk2AQRWDr/epcUzEPkqQyeqhUw0Wt
wO5Wws5ZTMiwsbont3HLhzTnnHPNEOmsyPTL1ipXLumFk5ohKGnavNwj2QkOelfcjs0DoxCDe+4h
g4vFGFvdhgFpBXMrbopqkkrq2t35TBw4/zYjSDgS5tRuEHQjtHg1daG5iJTy1YyH1j0dtKrlJBv6
8bRqs6Sab3qzkLUCs9LGBeidiKvcN8qE0EPjNhIxNnytu6KAZqudBIUhnkN36L3UiWMEs+5mKgc4
wTDSvHao031EXsAq63GslIPxUPRmvAJDUi7SkEs6H1oKipFkcDpBSyXKvMBxxyunHK1FEYbHMZy/
6u24iKrA8Rh/rFUI5zAywZOiA1jlDOa9hFlQatuHURAFV0bLGehiZBKs45DrhAhwbbXtLmLyXROH
nI7FeRp1awzm8JeV5qQoG8rGvt2LMGc8kYzsteh9JkNjOsj8Oa7Px6q7cRN3WxsiXwb+8NRY4hYm
8X2m2vQJfBwvqYHbp5rntTVEt2Y4ikUxI3l1DA0qWO8u8sGAVxGmpyqx8/xXnSGXnOW35kOpWCXq
ZGVVG8nrNFc3ZWzfllV0ltbiCaoBs4jMPlotAIquIIaoCpEpVwOq/TZQJCjqSR3jS0fPT/nyKhJB
OHG2iX2T9Sis5xRqgDk4RAvSI6elKQCfuUgOk8rDv26Sq6Gc2LOcs4ORhli2QDB8ycx11+naXtXs
E3ocp4mZ1sC/7JYJg4Vwo88QdUeE5XY2HQyRaTN5hO2LguhsXbhVvG47F1J1qR5y31WYfHbTVs+1
PTzOR3IuT8NkvlEmQ19o4/Ss9FV8NdEsWtbDsC0bkS+yyU08O6ieh4ISWKnxcRVZfhM51klYls+E
kbbLQFez6zGvt0quw4/rsqVf8m2QV4vaGCar4zssG8POzkofOUBHIcruULbPrj6Q/J2lXGtN1g3m
IlUDpd7XqsYwTk2DfEV6W7MmsZE4Dv0tmuPfU/ubaMugFPnPp3YJeF7Xj/lz1Dz/jPHMg9+d3lFk
0XhHHYVH8tPpHVgUXVcMi38GMnwvjMisR5SFM/6vR/11escsJKk1MAk1S9ZM/6Aw+jh5oPXLy1PR
A8WSTypk2fa+LjcZfDmxX8/Hub2rHH8hs0nefTA/qfzlM7ybJL1V/mgGUKsDjeQl5F/wriwnVsQq
x9LQjg2nMRJHObwtGvNr/w9nKH97nU9dCDIly6oGL3c0pWS5Ph1suvY/vuGfvBH9JwcMPo2/3smn
yXKgVTknQd6JPqKqEje2+1rgBneVo9v1K7oxy6Z/KLttF523hU/+zkscroPgXC8u2vwqGKSV88Qy
g5XjU4+Iiy6+GrLQG93sN+Mkqff75Wcui+F3n7kRKT7blfwsjJU/s5qXdx2KhkITx4H9k4BPytxX
W0FZw/91rOg348M3y9rnL51qWyY9YtP/Nsx+9wcww9TaXrWn49THkbbU3Do9TYTO+j2Vglg90JV5
t4sdZ19DFjC74VJjNaaOwi7Zq8qMpx+Si152ai8javcDGTv1Js3u9czYD74K7B4EknYzEuOwMRI3
dhbkb0AaiVd4OXdlRxhOXwGPnLy+nTbhfARjsMoCtjIsnJ01b+rRPc/0c3+O134HuZ/AC0bRgXMG
gJF5seX1KAt1ulacapc2PKYpLhE1XReyq2WRRjxXgA2gG3Zad2qr2WrgHF7dN0QLT4qxqIb8RGvF
Bd3xmMN0n+vFTWamixIzPCaV6xa3Ko3+RdyPAYTCQHj4ZjAsOZlYFUn60CpMMrMZXZ1JRywhf/DX
F7PxUU7wtxtffLpdhsglOWFs5qO6Mbb+bj5t74yNs6uPzUI7bbfVkphzz11Oa2O5r/f0xL3xQdlh
oNmoGwvSW3z26z9I3jyfr5j3N9cnUYVAKGln8pItkh2dmnwAlLWo1pX6m+Xo4zmQ8S2L3PvX+bTg
OVEGuBFC9VGh+X49fq2CZUQkse5Z/m9uAu3jR/ztpd7fBJ+OnC7vvzbcSD+GEPLPEzijlAXYjBoQ
UMvgOPzurX1cy/98PcTBCH0RzJvup680s7LRttFgHAeG4vn8RHjJr7+jny2ADI9/vMCnzw4OvJ33
ga4fURl1ZrIYFPRWyW++oN+9yKdV1h1JEJ84w4P2OpmrfWtdA7H49fv42Zb0/n18Wh4n9uq6zkz9
qHNvj2BXVOsS5bIbjt/ey3/3TOMseq6Lpnht/7d85ueinOooCNv/+/Gfzbd/oxfyHtvHD/9YYVds
p4vupZ4uX5ou5aHf1BbyN/9/f/i/Xt6e5XoqX/7Pfz1+zYAMRE1bR88t28u3n/2VYmFy8f3YPOWr
/Pkbh8eMR9/y6139+POHfS+MEK0jVtdRU8GnQLXFt/C9Y6RhvrZdRFamcKVx/91YQ/xBkABdHMEA
g/GcjMz4XhgZfwDF1OkvGujE3370/WP4c3fnE/yPIpSPlyHrI2NmGkakaGE7kbOyj1voqCpBX9d5
d8CksZQUloDjbOT8DhlKvfdh4Xt7IVOnPUZnlF4Xu+XHF9LStq+sWJQHtTPdmySsFGuZ2cift2gJ
ED4bbyLohgTxKxDywQIzj7hDbh88lEXM/ikV1BoHg0X5TVaNwNp4k1pbb7JrAL9IsPs3OfbgV9hO
Y61AxAxbHZm6krJYpAQWR2VZ6KtiSLsex3XAhDRq/Pwe5BApdM5cq16TP5upGOi44BARnQpHGaVl
itfXHw1SAeHUpA2pHcS8F8ZR7QEYn/ZpfKwxNMIhzMdl6J4bmvpiNuXXvArWfqNe23215Ti5MRWr
2HAI4vRaRiuXHFU3W5ljtvOnqfKMhKEwkBzQ0tVr6ISXcykOml6+dkZ/RVQkm6+o4weboQcBP0l3
RuxVfaga09qnkXtWuszo51lnUVQU41XEDWlBfsiBrq1KeZqvFlGqmCudQAmjdQ9NTqt81pE/02nS
N21u30yacp/qBE4WcWjWi7YNsH93BkL9gDysle6o0Qr4AE/REkyAPeemFi1kacvJw0uOosoKUnW9
ckd1vBdpBAuKhgvCr6SDVaTUkxeb82VltcQVK5p2eHfv/Xlpf8DvftwY3i4xAbmFekxwc3BZf7zE
qqlGEz869YGsiMcBcvPVfIV8eFEtEQSAM1wg7l5lG3uFyxVNl1gbK/hty9+u7J/2XimcRIHEqJAu
sIrc5NP+gQ1i6AJsSAdfD/a4JsZlEmDWLwehLxwbx3jV+xCNdQtRLDEgZ4FdY0vkO7KSKltOMLdd
n8BDgqS+gDZ2141Op7JtS7LX5i+2SQJM7Csc6efxDjQjku66gjfcQLYbB1TkGBwz2lLjajJAQmn5
MvaJuhCcembTBV5AF0LXN8w3NXoZiNsjVzBhy7ekdHgFcpZFgTxjgIuk+wzZcUgyQENUm2UxmVKk
ng4jFv0qiJNFYwQ3AX5zzcjOutFRAeKVuLa40Gy3Atulxle//oo/LiIIyFwOkZxMWC9hrBqft353
1gdabH59UHsKYhYCWjm1mtOECld0wASdloDl+seK/rOrSlZk7yq2v73mp29TGXu77pOgOVSB8WD6
NYzroPDmxt6KrCOz2AejZSF4sIlvNlO4kqbIJ5wENHodxTwtIudejXCJgmR8pTG3prA+w552ofrz
sxlUX7IhqrwK6f03Qd9/96a8eSnkZtZ83IT/J+/J6i/3ZAabXfOTLVk+6vuWjNeZbZfGgtBZKIQk
lXzfknXcYpSYjo30n71Xytu+9yrcP6RJFCcoLlJMYO9hffjSdK5Hm4HQW+bkPxri6DYv8u6Sk4cW
agUH7anc/mFHyZ+/O1ZyFweJAvPzmMylzaTBKjLjiWj41j/qKHyy7EyJFR2gu50ulS68mgQnvsQi
iZeTO6w+IPJQaatk1bktnhMzU7fqgBLNGY162fXFIxZSRuxm9DhXzYgkPmw4hlhQNSEB4dM8jyv3
tgzgDJQZ4P/eaVj2p1ndRi6JvEmn+VgAEuiAStavyGVJvdBqT7q8dAlyiO56zQJ+km+sNGMOPXp5
P2P/bIdFr2Y4UuLiAlT8bWEVu0ZyJ6KUpAG9BU/hVgx3o3p+dOP6wrJokncZgxw31c91tU3POjEX
aycxc0/3od5zV71il3lEAgG4WMEDNb0Mo256k4ljQjECL83ys1EXd2WOqQbjXolmLkeNbGAQSEoG
S0ahOCAG3Xqp9eOJMUfxSq/nl87x1x0BU8BZNpo9rpsSa4XRrGoC6vWY9Kk2pble98ZL65JIMJCa
58KTmI3TnIJmNmFhdYFP2gVNTzT613jvCIxIy22WIJEq4usUUEVLD7+s1ZNQQeacRQHNgOyi5yvt
MhGu1DGq801LT37tWOVeM7OnvAmRAIKhAnp8mvdATkTq59aeaVd9oY1q6X9BmB/oK7hUQX6Bs2cq
SRUjHjpQE/Ue2zDIEaIQnjEerkdJI4nAkoBUXJPbFiwHSSwhbOmlemOYSJpJ1o/bdgoPIvedlTKM
5ByBPhkUDPixMz0g2bxu5/FC67UvBrAUFWgKgyJ3aUmOig1QJdLH/SAJK2kIriVqoa4IJkqO5LCY
KkmGgFl8AC22JLV0IFsmyW4ppWc+CJyjL7kuTji/MnD1upB4LFOyX1oMNNvZftXiQqwirb3tJScm
k8SYFHRMErBBmcBkan8mExi6TC05M0oRPgf027HPTfPaGchKjfE760rzQC23LSSvJpfkGgeETSlZ
Nq2k2mgEooyScwP58XwCfFO3KjhLSDgxSBxisGl0SUpOg12au5m8qHqbSo6O1Rb73GwGtH74pSRr
J7SS1wb4TgmEp2/8UytFQZNM8cHR1ZNS8noswD35kLKnS5ZPLOxFLek+MaayTTVmzEYk+0cHAoRy
/GFm1Amwe6cCCTIkLWhWaPUroYOzCJSQDVJoJP1VBTFUSdZQCXRoHqsTsk7KEx8ckTX6G+SyV4pl
7UJwRQqBE6FqvZRiPmTgjED2dMtZEo5KyTrqgR71fbFJgCAFXbSpJRUpkXwk7h7rSwMyKZTsJP+N
ogROKQOrZLVNsnrbk//d2gwKnh/Fyd+Om7Ibvy8eq+5nSjr50B/7m/oHFEIN0hcnLnYRfvRjf4NT
61gI5dirbBlV8df+hpKOkQDMQxVZCaSwd0dOG2UDJoW3J7PYG/9JK55d8fP2Rk+fUy0CCgGNjO7/
x+3NhtQxjmKqj5PSW0wV9U6jC5rnTryzujA/RoLOWwgP3IJ/jQ7AvKgkEnsO1EvDF5dJ3b1QokL2
gp4d9/1JCE0brdlpgjBKgbKdQtt2oG7Pulx+4XAz2j8lXyZdGBC60amv/cA+bSB3k7t8gYvlxp7y
OxMUNBEpL45wFjXEb8jNuwQCeAgoZGHBBDed8LaGEa4I9YKI4kM3QdCGIT4y7Gc/HEkQmzdmrS2R
792YFUMw3tEqrYcnyLhnvktTsTa+GEG66eGV5761Bihy0ovq4MMzd4sROplAKFVCJUcfUVRnRObd
IZjchpyV3GlaKIT2xlqMvUFbYTjyKvjpodo/wNc/D8PuLCB3BCTtRsBbN+Cu13g3YfI1tSv14YDZ
4TXuZ0jtPhsUEqK7OO53SuN6PUT3MJg3CuNgbI0Lq6yvsFI3cCOjozT9oI73NNjwJuTbeWouM6d9
ymHHwys9hLDke5jypsyLqqdtVzXEzpavdlwe6JmvZt/FBysu7dAuKYnLbStx9SIdzhIJsNcmPDd+
8mgU4tKFcB9GLKR0SY8d7PtAz7w56Hc1PsMGNn7sYnyElS+kKhl2vsXpZFFB08fJRUyNBOzLTLfI
AblvSfh+OnW+V8Djt9/A/NW4cUpQ/cFYEvJXhosMin/O0CjASijZ/s3kDkxG35j/MdLoHb6qmkSm
eUZ+HL8FyRIeDFRLIyyzH5udqRTqpqgw13P4uUyKttznVk0+ZcV4X4MfcTaacw/nFrk4humCEMwA
JaExx5e6pm8SXWUwQJ5xTMKVR+lJsm1ESFKukwbOmmsv4pJw6NZR42VnD2Lr98iwG2u6igQtg1Y2
83yD1OW5a5m4lhXo26C5cdikVonFfCBOUdE5GNrn+HVgt1q4ig7R0X/GV47jWxxn3VyLOqGPkAxe
MhALmfov0SzOHNBNCh2C+KzuWiSCk+iWVQk42bCCVZQVF3qR3Q4dPs+y59jjo4pbkseXYOASTwFR
VAu1pvYom6rzGuEeolqqCMf4q6tgc+oF49++p9eQ6M5LUJIWNek3SOte+Psx7hdqg9Act7RRIqMN
M/xoAP7YmBMmOz36nTKtPcOJjn2Y7TH13Ypxeu1sFWiWsxekJq1HpVvRf7ylubGiNVIdJn+o1vh4
GXh0inVWpP4VQDRSp5D9A66HvNwJ9JQcme+HeOZTrrKvSiH1JpLYjF0/X8dAnH0l3cSS6uzO/cMs
AZ8pwGdoq09II59G0WM8GmFCk/K6NSQl2iZYIaB6QDGgozmHfVcZ+sYHLd1KxjTLFBoecxcFJOh0
YKinwODJFfEcSUK1BZPE7donhR4Kvnustr7KedG/MyTdenLRoVD0L4UEX0sCNtYWVKxAsUNiRj2V
4PnVKInZo+/fYwDsyJv1ba4vY11JvrbrDtyikrldFNyWNegk/jzjNVP1cdNLRndHJ4jYapSkGfju
aLb42/p9Cdh7zLAM4F3EYG5ALVUPYdvf5qq6byUTHB2ki2gFRmMHMDwJ1asBgLiZh9faZKuLHrR4
XpPu5YgBcDLY8ahztEU+JaR4C44FWWl7qU0teBWGZL7VQxOEFHFEY/cVXkOFAPSdgG8XpliScxXC
ojojBwC4Dyy/yQr4kDrR6dMFhxh4c9qYXkQF48F/a5E3ZYDcln9Zi9AMXzzWT48/a4DLB3+vRuhy
AyCE2cJhlrpDpRz4UY2of1g28n2AyzqtYUHJ8f20bf6h0RcH2GK5DiWJxMD81QCnJW4B9DOoHSAv
/SNb2N+bhpL7RGkD+ww+syGLlXdnbSPUlAGMvDiE2Ze5OYzjw7uP5Sf9I/FpPvbWloSpRkWFLJMA
J5s3+f4VOr8RLfnl3aGb6ZzSzmU2fEj9+NKs21fU8uD56sjLBCHympLvGAps6yqmk1oSZiMbxgWd
49xGNUMnOe7CtaCzrIBy4Rxwys05LhvZe57D9MhBjHa00beVcQwy2aYeUR4GfIhLk8gIppzFNIPe
V83diL6bDUGFIAjBCXdPZHtCROlXMCmARWfS0UQDZblGaXMfp0rmuYl47kLoGa1mB6w3YSXPx8Ui
0JyjXdrKKnXqe7cOAEPpHK1LIYbzmIz3hUEPeK3VLK1TnZMRGX2hUjvF2+25bjadEu1TbdO82OZ5
O3u1X137ZkowcIQzGfQkUOsviormRxPjK0nWKFs5p5JDjz9OOF5Qtlc2DU+FAFaDzMFEVbZ52e3b
UoU22k0XYwKQYgaeGcw1AZbJvrLtR19DaNViosD1jzYtemzpb2MjooMIeQ4Q81FBxIV3yIOt8dAk
wd7t7G1WmacirzhP6v1ZisPMwvNQlwBspwoEv3Bv42hut3OSntc+091mDk+InHxgV0YRoMR7oYhr
MCmJbBWwj86EGxt5sQybMVx1TrSbUspGMzbNhR9bG7WSOEUZ/yiAzxKCyXcB6TVv+zV70X4kC8UV
/Z0ojOUQmgersR6adj4mkbgMM7QXnU+zW/RnYB13xTTsgjG+C3t208wdtoBgTmHZXFka+XBtnN6R
AnCr+TbG+m5d1HQVZpM86fqLJVoyhVp3oxjNQ8Gb16ds3CjT/DVJ7dVkh8vaN5ldjKclFItFV9Fq
IbqIJ3UaHTyvT3vU/sJdsI6j+CHwpSsN68pa6Toum+p1KuKtAxZCGOWXrlYfFEW9amwcfokfU2G5
S9VMn+bEv0BBOC8wUpyC50o2WlAmC6HY1+HsyrIkXAZREOMZy55cDTOaUhL37cy2CaKyyfdRZM2e
Umq9Z1pXsSvuEfOCo9Bp3NLK4e6JhytVi0+UrnTYp3HMmxU4IwCulyODomU3delJTx8FNx2NIDfF
TYIm1V8NjXUIyJZYRaZ1q1oo9tzKd57QDdMag/RWUKxYIBqyuscAk00K1S0Qjegw1pF1WuF496iH
iL9KSjpASkL5hJnUEyE667RT1FU7CyY6rU+MpmMRiJN19AosUyJUdJQ29UlL9VGKstnlHTUwMKQY
r0zVbDHpxqsg6k5BIhJDnJSgQmZz44+zixJT1xbwCspV0VYFBtAoPdqpilg6VZqLuecd+375bM7T
be0bj3ZSbVnfzuJQy5aupijelCqnPsWrLHFNeo/mSE+syK5wF8GD1Ww/veuS/HLo8UXi1IUUgo9f
J146FhCEtQ6wan5iVzYLosYfbQ8XeQdpseSIwBq1Z16yTY1KsniX5dye4oXahGZ4pqbqXUJ1bXRS
LOOnm3xMvoiYkUgTkR/i+BZyFMAqvojsp3KgHEL4TbSpwIN0nWgZ5qDIIEKyACYCm3kZOnNC9RPV
Z7OTHAy9hDTXXGiV1UCAbBbErRKuPpgeS95O1/xuFRjobtKpv7GU8hoOPs06YLJM7cAgETmSuaw5
HS0vqyCasiXMLFKANsCbn7oanxAWSK8uMW+Q01NPyymx+20fh/0m50SzYekP7/yKV9C79DrPjMhD
c+Tuu6mOSdYKDjmsjmVqG86uSxjKicK+Br1LVSxi6WdFVk0Sie+vzaS6tvzp2snNWWZ8wrPsimZt
doG2sIdx3U5US6Xa5xukyMUy5YGLuje7+zpKnbWMnKBLFg301ETYbgVHjkUylGvDyWpvyooHi4y1
fKDEtqdV1xRHdbL3STXdqGG86iOmt0UZ3nSpTuOzcoFRjf2uUOLaK/yUbBfQhItSVR8IWTA8YxTV
fWeVmlcWOIGSkAvdjjompL5xr5PWfeXr5rh2OsUFaqj+Lvr44/z7DUngWDKyB7ypi0nj0/xbzzJE
i0GcH1rp1B4BP1jDxVA3619XAZ9FdXImyOtgbjQl7+HvRUBrz/R+QxLX4CE1ln7DqnSOeeoLy2W9
GCaXL2BKt/1YYqRKto0enkLRYgb4/9g7k+XGkWyJfhHaMA9bAARJkaLmcQNTSkrM8xAAvv4dZHVV
q9TZkrW9bW8rS6JIAoiI6+7HywNPqiPuKIBp2VUcDtdmI2+0ePAY7rtlFL4T/GPXyy2gLxDQ5O8E
sN9+QgAurTXyuIr3f9++GMVQJb2TlSdBQCGab+UUOkj1jU/rU27lD2VPp3p6nS7Rh2h9+h66Iavn
IgPaXJMUgzaj7zVsfK4cNqwb40gcQBofgSxXVyUAq9mR98LGE1zNNQ8qjeKFtAhiaRmucC46N5TJ
eczvT5Ks5NwlsGEMNaV6t4pOCXPhKeRII1TuG7MgvTfji782lPwl6xH78yjZLqJxYUyBnSOCBxBF
e5VaNVjZlx5PJdOdQYZ6VaNtU+qeXZYitjaxCbdKfQfE/jJZBqcmbNCTlZ/PiwXqyJqlnayI9FyO
a2jPE+og3sGEoltSD0oS3YeDUtw2wmD9UKKjUdRGAMGs35mU1IwVS5xC6HpOrWxTy+oF8SNQYAum
OkXLj6H8MiC3Gtae5+KTLZEisISym1P9KdfaeFPWJVgjhvaaJNNOw9Zj4jbDrc14a5KKXdvDRyqU
6Qwf4ktGP9Qr5dNb2eT0aeUxaiW+QK1rArhLHAfV6bowzRzsnMJwfJkOcN+/cckx1uCq+qy6ckPC
N1odwKAW/37VhZpUgUkzAKIq6ovmdByn6zE/mQQLXZ6nz9hUcM9RLKKYk28nvyI7+TmfCgmHGLCY
GnXnPTEmsajnRmU/EgOIg64wmmAAo7fHFYXVJSFOOdqjvZErnUYnFnVfUIrhc1ZnP8KDSC6qkphD
cxMVyeQpcVexGnBK75k+kvulV2DB8mS+OKvDalQqSpoK9c5UZ/bOkEq1XvHNqsNkaEhAEYX5mNom
TSLqm2lhKKsFjwHED7OcbkMnPVqIFE2l3ZhwjpapJjGk3hjjeJ6l8U2TGNeF5WzNuX8kWqq77Bvl
jdkM7AWBNHQDgxvbYHCigbmD4MrKYUovEteEVzvak6JJj0o8IjT3GDNjS6adWppcaao2it5uZVoF
qQej1o95Uzz6esYB27bFwSKPI5QRsySddRiyblHOTo497btqftEEtHMN+7hlbsj3MM4r/WzMLqp4
OlqlGQgMOLGVpF5SEq51kquslrL9bC+bqps3Zh4ya2RDQ1M65xJuxlFyriDY/UwsKaTKhJnGQCyh
HzKPBhlfpSBMUcyj2cGEpLSQYRmOGAgMnlh3qNkQHyXiJZkiIET20KKTSyPW3SgmAppJh4JVnIDx
zlZyClK6oInc0tnruq8orJp5KIKe5b1si9ofpCb1c5i1qbAPCz4Hy0lqxkKR8DqZh+5C5jllQkxG
4zK0lV1UQt0TzbG0DXa9fS5d5PVqk82tMz0SB/KuOAMqi++mxiQs5HQX1+Jc6jgl5FQkaCAJaPCk
XuzSNDYWaEdhn4opMPEcMe+zxodalhixyOfMw9vNFOpHEHxAgcKQZjB1tLwOh5dnpbDgxIhUw75h
V80wHKjd3hH4BV9RkcchPw7jqVW+Wdq+uVN/OXA/HKDV2JlTp86Gk8m6P3bnBRaoaSzcUFxk7bnC
ieXrpZSD/1dPhs8JRzWOS04XPBmq6l2x3saJ0sxjGT0yG/36hVZm7L+9ElFOTAJoYMzZP1nWRIfb
JaUE7LQoc7Spk6nzklBdo2LVPq5wLmfTeKjrRHYrMp/n9irxmWlFhixdYI7zez04hT+p4r0iim+T
Ph/uaVK7qGTrBpeVy6nH6zv1hmZ3RPI+CsiGPZep/iDFeX0dDdm4MeK43xbGcDCIjbOx2Mxk0zy2
eNuy16wHwhU39ZL7TFLOBo3ElKYelmjeG7VzIbLo0LJsW1J2yFS0YjAmSIMeguhDUbcgNsI9OUgG
xJPt9kbxssiz4eUiemomp31QV/lfxeHzzaf693nLPy08Hz7UT3YaXAoAOUN7OtnTc7z8mO0/ys3+
o6Hxu9//aeGQJap7TQBvp8S+qVPHbbS7by6Lr68K89M4B/txJmdqNJ8M9TKhfZ6PSY7nP6aK//Fd
rJ/C5+XPhLoHGsnEnGl+uvQmqxNxp/MusBeo/WsvCvYkd8lkffNtrAHoDy+0DqcM3GqGwlILPoOd
Kf/+4e6d06QU0VIjmrvKK4uaf5sHoU/+y028B7d0H/amNx5/XCdefD9tXvLN/IM7uttp+68/1bWV
4MMf8sd18XHB/7QBdKgFq1dT46kP4MN48ma6Gbb0VwTOxvHyNlC2fM4B9bkurckbB81ho5/K16//
CuN3f8XHW359+Hz4OPKww0DQ8rk/Tnt1A18zcC4t9wITTOxvHwzvaPrF1jnFwbSDTri7DX0g5jue
e+6ypWik8xmd+Y6Pl2FXbruLmJwkzfD3lCyeqKTcGntnXx2oXrsrgpuv//S1oOHfPsCPf/qnD1BS
uySHrcp16cL3Cbr3OqhvFZ+gox/6tOhswO2eVdvL1+Nm2EOdmrz0DGXhLD3RC+OFmA/dt9C7//qv
+nec4+rY+9ftbn7SehMm7q1l8lfFe5jz3rIDAX1b4gJCbnCp7Hbp/3Epkzw1O/WZQdrm69dfL9+v
7qNPTxseNdLc1fN0kpdqYwlxWKTsNA5y9c2itD5VvnqdT08d2qG1cVxyDK8RRZPiVZ52wvwxa2Ai
e0ZRwdfv6vdf9V9Ph88TZang4W806XCKLWBj4XUdXf3/XuDTmY/609w0Cw5QmXFQU+aAjuV//Qrf
fDG/PAIfbjSpqO3SmrnRqvrUFVlQq48LAeuvX+S7z+nTw61T8i4drbQ/Teu3AvLGmVLv65f47n18
usCGaukGxKb5JMYJJOqpyCZvKS6/fpFvri7r01PJDCNpZjjHajCZnu6UmyzvLzRt8KyZsimhnka4
VV+/5G/fF53UuEhs2l1W+eXjg9DG1RHWST+c9OJnmwaZhhPY3H79Gr/9ej68xqebhqqvTsKXNJ2M
VGd+f1UU30wVvnuBT4/EJSsmLYVhd5J5aDOMpvvhm4/p1/r41Y2/LigfruM4QfQJc65jzgYYzaOz
cZedc0QgTebFm+hi+BbU+alH788d1F93v7m+6w8vqTD/U3o1Zo16ZDBc8lSlidJtXPGiHJf96F4u
VECxdBubwlNc+0pyr/vNuqpfPjWX2hmndgxlm7l3d6UXb7/jiP52If+4dfl85SStkJWQm065WBdy
ye22ub4vFc/Ntrr/ULpnsjsffso/OJy1d/MBXfmbp9dq0v3yafzpex+lzowbZ2Yv4Y8+HMDFXV2k
h9y/dk7mUdsO/pMahG7JxDZot/XW9qRvntDf/QnWp3WP4gBJp3GlP0mHysViS3z/jQ4v3zoM79OO
OMbR2lIJ+BPjnjdts4vIT9+/vrt+Hby+uDStT9dJBuwKtyuXZhtMAWWsbrLu6vaZdzvuQVrionCX
U1+4D8DI/SKot9YlFBZ/2MR7PIvP37F2fx3M/u3v+dft/hm/aUsO2hCBqlOz0bcm7mB/CpZgOVLI
7L5G+zCAELjHoetWx8mz7jZkXfmK+m0W3CT+ukn45+bgfzbCNXz+hXSfvLe/1ez5qT81+xXlipWd
uZxt/NML+Jdmr0B5JS62jrHJun8MrTn/oMsbDh68PZithsMv/FOzh4AEuW8d55HMAVz13znk1zf0
4Q7n2IJcz4l8LUNGvCfS//dn4KLFRaxWiXxBGQwhmmKh40d5rqI3GZ+ggUOoNctjYpPWSoSjHkXN
f29h6ZhKeTE0dYBOd50Pw3PXLR60tmlLy/lj2RrbprautdImTNWQW7KeqFtFIZz6zWJRp2tY3RqQ
Q/qLBig45S35btq9HDn3mgZYppzUT3Ql+KahHow53UCieVli6gjT5VHVpcYrpv4sNkoSUqnlZUuy
64amcNNyeVQiayfijBrLrL+crBhYfXm32NXRSZtH/BCFmxnqT0mUD6T07pGy0FYHIwAoGizWcpk4
tAHwzra1kw6egP1mJ70J7NtmfBWKfY/zLJNm242oFLYaKWi7EZ5NYd83Qp3cup+t/TJkiitC/ZDK
ORWZQtpBRkGc47y+G6R5W+kcihRs/7V5Lerheu6L9i435pe8xg1vNvZZFMsPckHPoFwVXi1P51FW
GxjSMAcYabnrRyklPjMcdL3bmw4ngCY0zmblrSvL5ygc7mbbgNaJtQBPvkDKZ9ycN9p5bunvmgXv
gCzlHeBa1jpZHzFihkHfgTwHekW5xTTv0m7eMrbc1GNyHDo+syjKdV/MUcrwO8NF3Z4AkSvxJrTS
CsAelTWHvkoYt+q13O8rG4JpbzkzslufpnRByy0KZaIzOes6MnMv+diIfdobau+bmTwV7qSJWfcK
tUKUyHUCZjExoHolGg0NAK1Key1jMlZSiDcdth3WMxWQIJNTXyzdK1q77jlZ83NFS7KTT31GWwte
JXxMkYEQttSwnjTrJMWq7fVqze+QoexI8WM+6U+lPQlQk+MNrrwYV1ad+HpjvKV191Odp/elb2eX
QMF9ZOpcCpp2zjBrdrNOPbQg+zap6LWNbowws8hKaE620+P2iXxFH2iSnm+M0H6ae5VBtU4DgGmJ
t85WhVvmgq6OogdRmXS2J6dOdJ5H0il6yke/jAAd4vHTp843Cq6XMvKMbDmYUO7Tqr4CWxtvYog9
tc5M1ayibR4z7NWhdUey+RDWRb41+C82Y9xoaa6SMPdmXeqOonsqDQNH6ixVB8mylrX1gNO1DKgZ
17vkIknAbYwRbtsJ2pbgG0/j5nqYq2ifxdAkzfKELe6MztCfFEC0Xo5TTw6wFrevvx6n/1tXdDZa
X6wrLyWWMK8dFtaRXxnrf+Wo15/8a21ZLehEjoHBYPz6FW3+a20BAauwhMBQJPWLNexffjDrH6pt
/tr8/lFDyWHhz7XF/AeJLYM2LsUibvlfkmJQZj6vLbaM5ssNx+KCF11b//3D/tqhD8WMbLu+oMOu
CpTZbPH75ERLpvIhaTXoZWmruB1jIi/PwBctRr9vDAUMtwy9i867M5H3mlvEKMq9POyiKtqsEWxf
ayvNrUpEjQGkXmqlP0TYAvwfMf2MZbH6SMdyYxUGxQP17Fzi2LozWrt1G6HNJF+WIwfmO5y14KWS
hzDVbgvS7ReWEkrErBThDkDfeA4qyVmRYyTQI7RLanbtjOk/Zsh3RWppS1IlcVs2zo7y70Nak+mR
p3IjddN1o4iLqarzfS41p7HkjtSbrSF3MAKN6VhYKxMU4bSdq/POoAMz6jWiIE4MYK97nXEtu1UU
jRtrmYlzJyE8teZGd+YAtBacZoKlXdsm+zG3npWV6iomwcG1ITCzsPubcGMMU7GLK/KmE2qOn7eM
0ozlOoyUeWdICh/NkIyHPIFoWxjRyamTM8cGipXm5J576S1NcwynDVasqEq2YhEJYTZsNNKIXqbE
oOaGRQuG3L7UImDhqHN4KSB69b12jcv6uureVLv6afHrBjpF+VUsa7HSvcRDqXtdaOEjsXo/rTQV
KYdeYM1U3SpH6+DRT5HO3O3syrmGBVNdNoVy3kzptJERbvEGrQg7ruHtoqq3Ooqwl42OTz70ri5n
56wZUyz2yMFmE57kjpXODrOAFrhDV/WXIqz8PpfpBi6DanIGXzGSB0fvdNwvKjxsWk58J2+CJbHO
52Z+xJcd6OX4rIu53hfaeE30lD3IIt555Wkzafk77djKRUms0G2UGZcepDXCvufOIIXHUWt/KC3F
S3gTVVzJpfkcS4W1aSzamjZz2bGuLVhMILVh361PxL6tszqququpq1hzrTnqYY3VEGgM036za1vQ
+6G5xBWDtiZQpoH7MmhS0sL2ydEF+PGZpHpW8xIImKxlu1Yw2BgMPmI7CrdSES93Wl0prq6Sv9Bq
6wbW7KFX5vc1VuYrmXGdk8M6mMu4oajspMakFZyUOYmJLQaV+C1dagcrv/UGOiRyNXthdRqdzq+U
7goDFB9xex5msu1brajPaG7zClRIKOP6Bhy4zhVuDyv5jJ+YxgpsSzQjAYY/8zq8xMgzAFTrZazo
Q+WZA0t9uOSHRi3lzYKKTlYK7xnWMyssz0Sqdj4y0lNaY5w2zb4/xrqEDVO0xrssh9ltJcO6zUd7
JhuRxxgs/7c6/TIsyywJ/3l1Ctr3rvwNw2z9qT9XJlAdGFxYekhH/dNz/NfKtEaqbMqRZVhPZIMZ
KfzpVLZYzjiJOIhsFiebFfDx58pkQPGgz5hDDx5jBTrsfxOcstbl7++nHvwxNMUarHToNkS0/r4y
ZUWuOFMfWidykWdR34zleS/UGQ25GOuaYoRkgFQoOnyGcRFN95UTg0+sHFIOBxr+niatuyniZvZj
5gKe6IdtIyI/W5geKjK1fhVoTLdy0h/aal7RSiPZzBLqeLkYJ8WhAtnMpSeqrK7LInsQQ6VkV71V
xzdZluwcNoWlFWKQobgxkhPplIWUpbvN2GzaQoqe5rqPL8MwTszLOJ+tS6rUsW/oZGfpN8RaUPlG
WMjlrWlJWhC2DhUIcLLD/qKRuji5H/Sig2GbiYdMdWLN77Jql8RpCqVQbs9Fqp+Jwbg2In32Q6u8
l5f8dtAT1tu4flXBIRHhGn4UPfzKdjWbKtqPuMQS1Er6yRzUB3Oa7oc4MTxNSEdplHypAGoYJat3
sMacZs8YmbvS0vFLxA9qqNlegTNXjYybzBYXaVoTO5aSN2h3t8Wgv8s6cPaOdJFr2P2VhbuTijJ8
zoLfz+mxzp5n8hu46pKdvDjCbxpyJEVu3za5ogZVmQGW11b/YKru4h6vwji2PqiAvRbjozaK2HJL
KuLcTs5KNiRNvqEPE7yuehWuXEUOyGDjdXVH3YjiqTamAmee1D1tGIYrDfKbXLH8DF3hSaGBacLq
tsDoXzBLHEzHOnQaiejElqi1XpwbzJwcveIumELpDRJlkMvTvg558rdgMLEU+HW7mDtUCZTBsP7Z
V1LrmgktGoNUvIrYodxpLh+5pHss66O1w1KcBVxeVzogU3zC1ak3AIDrCw9Tp78yWL7xbSjXYS1J
uE5wTshTa3ipMXYe15sfG9XjkFIYV0X9Wc832EMvh6SWbCeDB74pN9VmKXH5QMKfGuNB6foTbS+3
aV9lXiJ390UUX8c6lZe1POAkNqV9arJlG+P2erbCW1lgKGvwneAGqv1ZEZB5E5q+WBUvh3DB2RFK
e22SXttGin0e19l2NuBALIqTe2Ig+xMZ3Zb2WNwl+rycVbV1kc4Vfg7Ot/gfS80jhtRDvhVHI1Pe
8jw5I/xCsWiXnJsphkDSRIe5GpSt7OQY1IjlK9wAvq6kL5A1RTA7/YXT6o8j0GaPWx328VyQnRsI
7swUVdKSfj0stdfjWl9WxpxlTRQMlvTr9dl4p4ql3Ek6VydtkwKEb/Kez+qyHSzr0RDGjarwDY8V
04i8VffAEPBp0hkZj6D0TJ2dmlzoeiCa9CKJTN+UsusiH0+0lkjg5i2GCGlGQsyhu6TEJJX33VYA
kvWbluNnU5q3QiG6JLfyz1DVn2Utf2UXvmeXK7tJ1GN+l9R3vZPuO7rTvKIo7gvRqxvVGW7mmWLL
xCyeqlk/EL2bmcUQ1+70M0ufzCsttQkNJZ2MtTZufmgCBL5qYK2ElIMjrzk3pXWUk1VbY1x+tJr6
1NCut3NkUt+1Y10uw8jghOYVX285kJtk1V2HqspwDumXtvqbuMQiaNdyDua3mt3BylKetdozlt6b
vuhtjPh2FlDGDdeNVliicHXplYmM5lhXm8zQ3scFmjSJw/M0VYkFhvDts6x0PEjEOTmvhtC9LDRX
6ALKKney0unaTg6FcUomulLGrsHvJqmxr6nNtSjN7my2rX6jsPXJknJaI3GgBLXZT2iKoYolrs9p
oNnPRfiMM4dJtKQD8ll3QZPG1Vq36atJy71Lke6yMUq6LXVtxpLWNvuq1oOMSkNMXGYe2PZSQEtK
lm2ZNs+tbQRlK20jEW6roYyv2F6buJwS2n47IbsOVmgSeFQm4WYLr8xSrQP2nHsgKsfUSqKgL1J7
2zVj5AsOYV44zvMZ8dS1rzEN4rrXztQaOrnBLomIeVTu4rJc7hZR8N2IWQoMO6pI2PK9khHlidiP
ew0yjAupDu+yMR6i3DkLneUgJQslNUrdBmG2XLUFkn3MBlKyzOPSAYqOhyV2h3G+JENwS+xyZkFU
8qDWoPMMsdRi0OpfsUKOLv189nay+8mbFcxo8Hk4vOXxZZ+olzTvyn4GWX1b18sBUscxzDUf2sDl
2JJ/19JGBloh6Byw2pNjpK92WfzIu3DiGnIo9DAlwwfOdFZp9rwJzWj0mH7kriyLe2XIXqpMYp+Z
3GSRtPYc0vLEGdR0W71+zwEhRIWskybWwXgkOr8yoXhV5ARPEgmH40BJpDNUAVSq0RdNG9I5mh1K
HGUwf9LovolzPxHhE+kCYNjculaO6Ff0T4bGFj7uTzV0LV/vi9fQUJ2N4oCaJlB5P1Q2LGs6CoFU
SleLXMu+lCfnSs3JoKqyQ96yE9FZUw14wXj3lHfw1DtrCI92OBdb+i7O4FcQY84kNzXKh2JuT1Op
rg1VRcHZgrla2J41nXKgBONNqu2fgkyna0KrLBtpF3bpuy2NQTdU/baz6k1X86+iku7lVD4u0aHA
U9gO1r7ushdnSH/EHQ/fUZLdtLX2Q0IQxejtyOvM9mzpBDzqjK+n4JjIAO0wLVzP7NPbQFWZPjLJ
c1XDuknSiP+ZB/hYKMekpWVFl4F5Ktx2W3Zuz+zA9slUBQ07HU6Y5tliMAod6uSC+agbOuJB0fjl
9VQxaU0PGWzmrVb0r3rkPEScD7y6aE6yVVyumxhFY8EjL8xETCmovNZOU5bctUJwSurkxJPq5rJO
nOOsho6vmQy7JKAeFsXB3qIX26GaFpgN62gcKnqlkWzpiiIKkpBbp1zgdmntfFOMDW/Nxv0Zs++k
VSXZSCUn3FJv95YWn4k5/UmQJQkiYV+QYt5Wy7aD9aza23YufWU60oZ6SwgzcyVdLzy6lbfkymt3
ttjIaMsPzV6z2NEP+KtHXaWaRArlmC+reakqdXQnVaQGC/HYHrh9bqO1WQ0g/71SW2RtqHnpQHTu
iM3v1Crfj33mh7ZWXxGypqsNVqMpNgksK4loU1VRXU2OqT2j8ExwuE0E9t6AI7o0X818O6VsJJKv
hxVO9sUiwW072VklZP4KGHGuLLXbxcEr0FZSIDEa8MtMEkGiV76OOd0Px+oRw+eyKe0RoNMcKRsa
1++0trwRujkFnab/bNL2gfAJfmo2XlJIMQrw7n1s6S+w4S6nxAEDYq1zhaQvPPZdnYebt8FLOiou
JTMTy8mafZJZ2DqWNL6/9btjbz44cFyc+Ni0+OLzWven3jqNfQKV1zoCIQNY3qUvCsPrztGPygKd
oK7qH6wtMwSd3MtK+65LEv2sH+T3hRg5CH1myfNoE/AYLhtzYYQcA0zhKOGyrxGgQsu3VhSEmGPJ
M4C7BE1nHvUmv1axJtK5PnpGUYkdz92jQ0bRmg0WO6PrdgMtn6xvvKDR0gCm553bcf6FjG66S51u
axhzrqNkz1mD4BFfZGS5UlzPYgKz0HYaRQiY9zu0lbLuLwojfYMlmeGYnz0xU+8YyScaUYO8HE+6
Cmed+N/S+G0rob/L1UMmon0fJ0+91d/VTsUgGD+m3W4n01rNltSAFae5UZ8TYuR4EHgyFtF+ma1l
nw75M3/gXZxIpm+xF9zE4OkPPBWedfwwD8VChr1q0sMUZ/QoM+nx5mI5F+Oseo2pPNaj/DKl2ZUQ
5UtW2623JuNBoz/lRnVMtPihEPE/rRr/GzfrWCv/84EeGso6bs5/nz/mR/881UP7UmWbQzhnZ2Ao
q2D516le5Z8I56JYrrCvFVr+r1M9x3VT46yv/9lY+eepnnkz8ibSpyprNP2QTfgE3PwKwPmbfLAN
bsyRqSw1GG3r6x/xcd5sKZGS561RXUAOgmfXT6qniDW1PxGiVKdIITGQBbk278uCbRQAifipcKyz
YkwC2+m3VV6drKGhL166WKRwIxMl83L66455YgEMSdr7WdYfbYf12e7AiNhSv6HT/NZsw4tU7omG
ZBFhiiq1rqZIW0BhLGktE+c15crnxCJvgEudlrW4D0LJuI1DOFSZYXNElfvYS2j6W1KClErEEQkF
bQk5vzlrLeCwFgSifZ0mECwUOS8p3dsdRvy1UHAc5btxbRikxUKo2NV7R0dG/FVDSB+huRYT1mtF
YbOWFQ5j/gvEgNpbpq9OAihjXssNB+bssFriPQe+cJ+vFYjgZTZVKclbFu38YBiSOIZJ7KwdCNig
2/QuaQoWq5z5L5VYFxWtEmurIlkRNlHmcNsmDSm7rLkzreiiZiqOdiaO+kSVhdaEK0ABFlIpkYgQ
utx4TstnmjXDeV2DlMrmKg8IUG7r1jgzSvW+SEeou0jSIesc8RFlZ2kNeaEseRuhg0TlclrUYoTu
oWvukLaPeS954VANbpbUxyG2U8JyjHnxxnrSAqSmWus2uyrVUG1hPuaqiSJpXmUh2CpNwPRUl2jT
6IUdCKl6bVT6boCMnFRNbPRG2qJSHNENLpR8OGgaGWJcIodm5JoJh+6ySczeRTBQPHmkBlRfo9ZI
eF3KrAgl1jJiMDYOZW2MrKtdppD4qKVtm0qAn6vufKEU1DXaBMycbV6rpnrukNnatDPuOL3QiYFk
ILW0akncXO8hRGeyRUFFuOmi7nZypjgY0/I80sPnuRl5wEv2Nuo00zd6+V5vmudUa4hL5eikTW8i
cUdXkVCOyrRSYiYQJs5ba4raL5h4Mxc391EDHwaC0LEfuouEKI50VVVWvrzPE+1uFid1J6vvs5AD
9riMB043+nlJFu0s7Z2nKpOve6Nlgj17bVNShR0FTMP9uhOUxyKhy+qhos04qaqzKe1OZZVfjiUJ
XsbYwzYPB/r1QuPnYkoDlelC07fJQJyDY/i43Kjmch41bUcdTSKCCCXaFZrJ6+rbOm+3wlq6NVy9
E4t22RpPnaSQ2x6cu5L2HqKgh1blfFL0BtwNzY3q5XJYgJmOYDpmY7jiYUfeqPdV1SBJmTDgC5vw
Uuv6o21oOAHs/lANyTWKmhfO0c1Sk3U220HDr5xwBmh7bpTCKrdOpEAqnfMk0LD/EY2Ldg0sAFTs
2N5UpMQYJnHllDV0m1JRdbfA/GhP0qOllz+rVn4rbJUaqiq/X0pSbRTPUd7G3sVYYWfyKjKwy/pB
uJMdBPpDsgoRsyxfFqs0AQ9OuRCoFdoqW8joF8MqZBTmdI3qTtwfjYP0etDowO3QPihOCkiKkVpd
ZRF7FUhgdT6Uq2SSoZ3U9gzRpPLlur100FZkMw2WVWwxUF3SVX5JzGxXrYKMhTJjQw7ilQkbO/qt
soo3zJ06f1kFnXqVdhpJPZ9WscdC9TFQf6ZVBipXQcjKVVddJaJkFYsMVCPea0LHS4fenzQv8Sot
9avIZKI2KahOkfOaoEF1aFHZKkqp3IKMT3K3R68qwO3SGM+3uEpZ8Fvo4FrlLTGmWwwHwJxW6WtG
A0v4dfYqihlGdJajksXQlJmvIpzpq4TGF4qYRoRvKomNFAzTGLYp/mCXO+eXBGe30X5iGxpKlPRo
h9ixzXUE9yx3CwC5AlFwVfMifQqkuLlRkfngmLdgq8yB8te1VQoxkHAypxOCWu2qE45Ng0MR5RD4
xc2AlKivmqKkNdsBkdHI6pNYVcca+THqp2t5rjaEf+fAQKCsEColEB3E/OchEIiYmQM9qLOsK2ag
1BLli/aHpfd/+6nVxPvFfqpC73v5jXTPT/21lfqyotXAQgKCAFjLL0bcX1spG30eqhomYmXd43xE
udj/QGrh3Ew3C04A2VT/q62UzS7vg0CCCwCAOdBUONSY0FBrPrlxWVuAOXD6v1A1Dh7MiFjeNM0c
XtuUSms9wy5ShNmO2hCoyIpzH/Zj7IYtECrDsH70RX5jFcJhuVT9oe9lVvrkBwyGfTc2x0xKV0Qn
3cFJM9JONPa4opVnYU10SKuiOxRNs2eeBVgguWB0vy9i5xz8kKu0nUNhKiHAcV4q1+rsXQlndBGS
b2k9hVtm5VXScgmuK1xT99eq1oN0szhzZeXVnEkKcXrpVopZVSnKxOqbcBiHdJCnjzC2n0UE1Ck1
0uuuJSTWNp2nYMEqZDSBdCm3M6fsc7nW6XldCFQr+mExauT94WB34VvtiENC8wAqUnalT4xlozI8
J1FJPlmVnhAlN5h+lBdEf45nmQ34uL1PVPktspiuiFprEIXyu8mS3gZj5I3kDvNM+3zOo3ij8B5C
OTtPlvqlSwEQjGGWbAS+MS9WG2NbGiHCP0fB1i7u5jq8IMb6XMDNdDNLPU52s+31DGJaUZTkdJXA
pqQNx9hFxmiQE/OyG4RCrGaBu2I6Ab1QHMTirdzb4Nfs9KpkKuaNJQOKbsE/ZJPJC+vHJKa17P/Y
O7Plxo2s6z4RHIkpAVz+BEeRFDVLpRuEpFJhnmc8/b9Sbttld/uL8L0dHQ6H2ypNJDLPPnuvPRhc
wWqK3Op2dlZp2r3Yy3gcZQ30vM1/lG5zNnQzpPUKnwGbAuJ5EtQHnFms1/s2wK7U1uGDkTUHUfGs
Q4L1rkbZVxtDRt+L0LkPg3nXp+O04Si7ojwW3IapfU5WpYxIW5l0z/y7fVHyWLQGl8PUAPYSJd0N
U3x28qb8QZ5YsKEJOzDAGE3WkRlEa6dvf+Aq3CdOs5NDHaHwN+GW//Cs9/WmKvucKvCBplutvdeH
ZpfY6Tdr1jnI+3BVufbxS1PvSqK5RZHTzRPNTPXp1uqIR6AKbGbUiRVJfRd7YoMNktE9yVUUcDZ3
RlgeU4pWM0+tGLzm1krHqyQixhg12Iw9fvZWcOwwxADDi535A1J284xmbq6j0Mtd/F6Fc2dURA7C
lctW8Fbgs7wjKo3rS58Qrk2xTbVIrnoj+JGG02dAZwG0gcwvRO1cOcX0hFr33qV9varK8tYJwdJE
6a3O8eG6Ods7STJsctBsnWEdZ6LZuiRFychbfHMVFgaW+uaU7MnDWpsosEakEWfxk4FNWEW7WAeF
0ZTz2ySNdT1NrzSSbYQ3P/KLJq+ZaIc51k5FHe2iVDsUXI4lnZhhksFwCfYJgKXULVDWXdQva2Ed
1z3rdcO+ijC4QaR3yF3cBzFR75jq4C41VNHibvQkzQE5v5Cnrkl289RvexdjX94faDgKQbA7UDfa
dRR7L9RHc/lvotNQeRAu6xiVPZcA31IO8FpcY1L8aEeLNwErkAlRNLWQBqv5TJb6MDYmdTuGaI7G
OPK7VZsWepza5qNvhgsukHWbWA8iDnOa1pvTQkEzPCTK1VLehcKNKJLWPbj/4t7ug89atrw6h/zQ
eaELnXHY42GdfK2295aJgCm4UEew2JIYQ5MbD35k9efRKY6sBeiLSzPfCl0ABf2qk+4eiw3OIrHz
nP4mlsOzMKpDwC1DDsLZpEnG828qNCgG5Z0J+cKPl+ZiCbyfYbJXVLsqHq4DuTzUylVqdGoNetXU
EHVrlLQJVYxmhK2UzcbU9ENZUu3SlsXCU9hEoOuOogAJXGAq9bBd1JV4JwoIXsfoX01gkv6ISfoA
9upG0ZSrMLzVF/fkuZRaLosWb+UyXgmZ+k6JmwWQD85fLVbUS7vfQWi8MTNtS4fEjeG5P0xj2Rak
zFvZbVqwx1sqEgt/1LrL3FU3neM+TjE0o9wGUznltrdhBZy9pGYww7oafiRtf4wm8ZT1BWNfeYq8
FrcjBdfc/9dG3PywQ5gsqgE7mrD9U4md6gboi4HSSrpOW7aujRZA7VI12rJ5nurpSD0XeOw+d/DW
YDOlepsGDj+a7AsFlkerUwMpJd1BjacGung9W3vZtunTkGkj9hut0LfApkffndxNJuKDYacMrar1
m+LX79Zg0gM+AAKn2+LNW5aL3sDN4roQrkOi9JPqEQ9MGkE7KmtpaT53MUJ0P09Uypbxc5kYN7Sg
31kpveRDSX0lReU41DHXqYv6fGnldFhUo3kDWGhV2MXjRNk5EvtDFnP5HVUNesYcyA7/MqiGdEAp
94vqTM9Uezp+gHhjq0Z166tbHZkAFRbtPfqVyP+3oV5DhcH+SEDgUaQZD/QuJg6dUJXh/MVZ2Nb0
1c+e6V30+3z1Ym+Hm9pnnvG9t4e79lxexZuSqor4ZO/gju3LbXRlAwY9R7/mrv694Kof+N9fcK/f
qv9xvVUf89P1VihID/UhhseIjP/mJ6UQkzQWVODIyuXzk1LI9VbS6eZiASIy8WVa/U0pdH8hI6H4
hSaQQZgs/0gphI38X68f6goMC0qRhxPov5ypXO1y7NrGcqmqNgfy1fHIZGxeVfb8qCf1LojcD4vd
+jqo+nfRB6+xhBAjJuvY2kGm9myPHgwQYc9ne6koZOvyLem1jkJd9lNxtp0D94Y6TR1Nrzc29Sh2
0L3Po0mNRV7u3NDbY7tAM+RZ7coFAn4IbKyTI8iSsuf01j81WRyh2KKDDVZ4diS+Fw1k68qtsQ4a
7PZrdDkAFQcBJN+vDPfJqcyb1sguNg4NHmQFNAdzyJ5SOYMqQy+Ybe8WwYNiwZTlAha92U54fGUl
TK3O+hzLMDkvS18hF/N5MATsFq1RLNTQ16S+z7VUbMNJb9ZBNkabzotFx2BdXfUCe6xRjUiI4IjW
4Az9OLO3Xp29wzZfdzNfejW0u566RdLKVrKbkCG2joi25YhFsSg2U9gB5oFN0liZfjDm8mgKrBw6
e9wAFQFiPC2oQeqcxrQsfW+U97Uey+0MndfXCnyEIR6OC1nbQzH2UCQWLgJ2a3OXcQiqpaZvgkSE
7hi80tj3kGgukFjN3FtzgL9IcIZakw/TklJUG6SWUeJiYAW3LyNoUXWai4fZ9WAxT/YhL7AGWGF1
p+vZfrJcx48wnrBjBk5TUoF0kOMAy02o53bibeOi7TcIvvOmDjJrZYfpR6MXhT/UqvtAW4w7rwaA
stjpJrLZfMJZitZap4OVGalHRo818nPK/gigt2bvQxdoxai56YEb6HpSZdaDhdopDSfZdaWd1fsG
qAY15KOrXencoFlzV/RHpt7Voq7XOvdsyn0eWoGrX3ADt7SKygfu5Cht9mZwcW0MRclOu1H12z/K
CWHB4kYvpuGlUld8uWAhU5f+2PS4/jMHDGoggPJ/6pkQcjUqNMwMixoeSmIJHdNEsbi8JbSnTo0Z
FvNGogYPGVoXh0mkZyKxY05EQA0MKWm7S5haMjW+QIlhjRRcBpE+Imri7GLSCdXIM6jhJ9HreNOo
gSiOijePCSkKNRraGJmE550LZqhODVMjU1UcxI/UbxIt1QAvJExeZlw9DUxiWpjNTE4MZwNTGiLJ
t0GNbWNHvZMa5HCup7cytV67CmUTVAqS4nFm9luYAal8olG3tDF8Mx6CvdllamCsHHk0qXZu1CiJ
y+QO5KESoudXw3lItY01u8eK8dNTcyhevgbpT3uIB87rLs1uufRrPlkYCpJpJFbzbMFgG9kBtlhG
XXME+cPoq2lyz8a9XHVqKhZqPoa5QLu0d6Zw++AM6SWmiblnA92oyXpQM3aaL6+emrpJHflcGGs1
imdqKAfTcurH5YAh/B29k7Fdx7CnBvkqTu67zH731IjfT7iLi9p5CjXGf10JAQ2oopUZdRvIniwR
vSUjCVYAuPy1murfE1fxHv7+xD2/NXFV/q82HvVxv5268IFpsiNQyDH6n0qC309dQWyQoMivxlp1
X/pjPUdZHX16LMyA99q0A/9uunV+4XalC5hhoIEdQ/6j4mBqvP966BI6Ad/HhhCdl5P/L1HDBCan
4SxGdMnFYgXniEPsddJF5LKpLorwptRG+2rpa/kqI2ts9p5WUHWCU2X81ixO+4R8UN57XmwzZpr9
yLK5cLrn1qRFB4YfCFUZcZ5ZsfZEDAs2aojdPDNQzY1J3rhusQPaeOkH+cDb/Q1Wy5vB3LqKpzvZ
ujlWIbEzMtY5xszcTiXbZhoCCFbNVSQTNP0WkmfYYCMJxfyW1qAz6xGPSA8fjZU85/i8MN540lXL
dI6PwoFr1QPGChs05jHYV7m8swbgY7HU16npfJ8DgEioxGtv0N/orbqvTOOVLRVW26AZt0WRQFaD
Xr9zYy/3ywHUJoAQngbOaXBbmm3TbSqL7JQ35bGP0p4MoIGnq+URYjVhA5GfGaRa0ruhrh5ra6nO
ZsNRyXpP52nHEYfvA4SxBcC3yaiH6cwp8qcizE7om8Q0qxecMAhAuoDkJZpPBKuZGMyELt72e4gQ
O0ETsZ5268pxku0MV9KyEOLp4qTzp2PuSfgZ1IE++uHg2vu44J+sYWKy8MqnIkq/O4AYXTQhUO4f
eho9yJLHbtcl1gkv7SGutNu4wrs12FAIg5yK5LCXpxDHOeoYaF4pH6wGy1poO98RRI4LVYbVTHsa
+YMMEcDBjDeUCebW6UgXgN+JkZ1RWeyyGGSbYfV4OElh9nWB7NVma0lKc4t6sgEXeI+zkIYKdK5V
JNytVTvDda+ccpAi3A6/2KFLZf6EVDKtm7S/XYaBK4cZXReEP9XdzFwnc//YzMl7MIz2XkZNT6GZ
2DqN+8z1+MUJQt9gjKMqCryh+jLEcEeuFMPTcslQ99rY2HrBDS/W8hpfySnz0ptlllxFvXxbYK3b
NixSacpJO6Sz+dhJXna6nZxKg2WzWvdGmvusOST6OpsVh55Mga818TYd02u7yi9Yk4/Uw91wftcr
Ep0kJR1ryzbh1YJLG9nGY95lNHaUhFIGeZlj3JSF7I+ah7dxqIm6B+2DmzjveEHPjew/add7aDuH
8V6ekiHVDwK/IzRbr8XPyO8hSPLvGXUPF/aqzsqdsn5dFfLCNy9X3Ri91I0NcVfkFyPQb2rkMXTF
d02jMKj0xMqJ0PBy9JAOu9ypMKOjk3fFcySREKkkMQBfFNlRy/oKRDfOn0BI6bOYfBupr6bRKrvV
2+Alw+qKko3lOfKsvecup6zozr1OBK23vo0yf+PyjdeMTzoatwlB0IzWDWyUl5bgkGVae7PKUpxf
2bm3Jbh8yy22c1qsLSMFHKrTCWhHMK478xjrTXFL323QXk2DTtJzKbA+GtCuPTLRez1xn/ucvVRY
5lC+6ziBpZcJKGUtX31YlCUCnGXcTLN1pYlYv454Y/n8zu1L4ZBttQe6gWXnTM9LXYR3DRfSY0JF
9K7jR7AZMy3b6wz1K0z3DovNNgipCpBdtO80U2M1GfGp50qgOCSswb9Op3+Paf3/BAIc4yJs/3vx
oz7opzOas5lEv04NEGcr/9fPZ7RuE5m06GUE5P/HGS1pDeIvujAlBDNA/X+c0TYte+Q7HUNnsSJ1
5x/tfb7gsH/SVTie+fMEVwJSm8L6y9pHD0w1rTn2dbRoZvNIPoTiN7+Yc30d0a7GmzZpjfjcuqn5
UpVyqndizG6FZvoe5vMc0+zUcZA4IsAP58q2PuRlAzfEGUwFcm0Tk/h3cMUqGucldpslvS1JwKBw
3Uk9ep1wr/hoANezLOq1pWIzTIpEGOroHeyjZJ9EuIapOGK3zT2f3I1XJCmp8XRej2RyIj14qb5S
OqVIMCBnX+mdNCsJ8mAo3Q12g6F/HfGnSr8km1icLW2W+zlK9jEQcjXEjxvRFSyIi6F6h3X7GtKv
4XcyD6ivLbbtFI9+mSf7OtH2CI7damqKd2EiN2fsWoHC5o9xqH0YZ/KI55ISl0mdV17GkB9kwYNe
u7c5wFFvHnbJcqt38nEc2mcwChsLq7j3K//13zeize3y7+/LDz1uts//fieqj/r9nej84rm6YNVK
wS13Y1agv70Tv+qkTQHIj+5ZAdHv57ciK1ZaJRGhBG9KhdP9TaNSb0UPWZK3owVtENPdP3CzsWn9
y3WZT+zpluBr0C2dle5fNM4wqEVd5CWF0hkuMKTsVzqzgEelnbMSQ7aem+zZ1oPYn8vgHDfuuLb1
sfXRfW4orDhghocYZBskblCqWi0+Rn1yxpo5YoKN74VIvw8CmVgrB1C12piDTTXO5QJFg5Mz9PNW
5bbF87iw02ytF68OMbxxaG4DtSXwNNJL3BPQtiJYDHTyOCFhpbhKnvCzvVZz+ThEManerkW5kfKp
qbtDQfC787RnNJ1jJB3IW/F5SKMT5IjXtqQrOyY60pj2R8YiZJPzjREIjuUO1AO0pfJbPoMttxKT
fDTPKb/Oxr3rjY+zAYUz7MatZS04dRKTa+YYZ2A63O91RG8QwtCp7bKHseBd6Ib2xk7dOxIW3/E5
3WAYmikqoM1BhEm3Ccbx2q2GF+JgH0FXfgtq6uvL4oPFO8vntAk3fTE6+xZneVh5JOdamPHha2ZQ
U1BlbrUeJfeUsSo/Rt07Qwrp1tjx4bSrg3+2CHOw9aZvQndO9Pld1VYAczVbLzG5irkct6IZr0LP
24eGfTcvw4/YSj6dvHkw43BH2dVLHpLCEA5fJL8kTzRQQUbCPYZIajyOtbyVoGNJiv3IKKlcB4iE
pQiE3zfoDFQRPVuhfWd1c4DnK32wQuNHb8iBbZz6cLvvt5bZv+Qss1ryfkRO5LbvEPGCvkt2gCG+
Id+lW6PqiQbbhIyI7QPURo0UFuCIJd0KB4Q3XIId/ZbIcmnFxbbit4bxhv4CW66/soQ1epCM23YX
tNUxDvL6SkHd101CpwPr6DsHavZY2Nu+tmqWDAG0lTRWgtXE8mFpgQr3vOJsZ9R8d+FFPLf8DnOj
Cjdjs9yXzGmrvnDZ7Q/bQPT3i2tekaIzV46RoTLVAfuSDGvQ0KcfLCpf3CLuVo6s3oWOx7koA78Z
J2xkIt6zyIYJoEV7UWjJWnPSwhei3NGbudNF3MMx1tCYonFemYP7mSf1yZ3KgVRBUm2orjjIcJ7X
BmmoTZhPj7R+XJGEiFe8GglSmt172yPxChVBYUBbbnL2pUeL0OJ6IrUaHrKviGaajs9ED5th03xF
OPkxEOc0OiccNzKmg1R+BT6dr/AnDGeCoB4jHUxvN3dutK+o6FzH0Y1ZT+E3OgE2XGadcWVFVnBd
tSymcWty4cXVwZ4kcrzwPqo5YEPPnm5Fpl1h64vNDf186hh3M9ZRX4c7LWEc9PXXoQ//gQtAO5t4
bjO8gV+Xg8Q0XtJRiPicFZWqYMsimATS+RBh3yc+0nTDTZZYvkdVXGrRNhvHhhM+iM7J2m9GMIQQ
N000g3Utchm8pnYcWWdhsPFeZd7EVf/feyuZQvvrJvf3x+V99NZ2/2Olo+5/vx2XmL+hWEkofDTD
ew5i0O/HpWH+IjAqYRfiE/16Jv5HXbJ0JCQLM7YijgjKV/kD/3NcWgIOCTUIv5ZSffmc/sFxaf8F
0qZAVlybydVwd6Z60/WU+vQTbMRQn7zK6oy1i0MeyepBrVvj0+BIJOhau1SRwGpCF1KagWlqZnTP
OUQaX2gLHCb3ExfnmbP4geUoJgmuaevZ9Fjmhhw2rrl3s34ru2CTT/p+xGabsw5Rtc1r6F7fWptE
Ny0fOCLI40y4Eh2O2q7/xNqzGWlXpJMZo7JeQbKwPqQlduHskQtvSdFqcd7vk6rZN56HpyTEv2Jv
F7JGXMAj5vnhJI3y0RmH69Ggq2JurHgXLcZbBnLHEOKF2kp76wRIYBW9VLuG2gXoTlgMLBKNVHEO
Wzeojp2h7T0z2aRRch8MFBxOOLE3QzXdFroV0uhcbZl9xZ5knjiaDoMm3ChYC4VerEBWXDwz+27E
UbWbWUmTLeVZqs3BQ5OVkBv6aS0KEqsYbs6pNdEnHRrphvtz5kcME74zYXlyZnfDaQi0qyvW4Zg9
YgjWrvK6wDJZ3kboyqvC9a50GnNW1BWcvcJ4qHH/YuO/jSl/2fQLw+ycj5TTuT90bRqR1YvbKcLb
j2XuW5LodxBq8RyQBEUONHN/lubDksffUoaJMVMpJhe2lxmTntK9Y1KLH1DL5D5ZJouFfz9volbS
AxGYt30XPUcJX3+I9E9fKmlfWVm48EtWWYVpbfKW6tQkpfMzW49obZbKtxOpxTNPVD4WUwuEijrf
soheiOjdTQ0bptKtKMEx+10Ygputi25edVRmrMeEj8swnOAjTa0dd75LWbrqcsfvvWVroE81frvq
m97HJ3bspyb24oNGXZhvS8y2lkFZg9eSnMk1s+NhXnFTKK+LyDvRduBAoaG2L2zja5GU3+qkjtEZ
KGzo42Y9WYUvgZyt4N0Drs6Gfa2LG8No/comsJTqwbEJ+0NbVI+9NuzKtjhHZbklo+UB0o9RQ9vB
21hyRCHNKOdxxfCCl+azHWiQTabdGFfzOikQ8Qqp2m34riAWlPXY+ak33Ltptu3EVQ0+cTgH+D9m
4dGuVVx0u7gxBqqL7OWi9XiRBuYlQ9GAenJvfRktmPMJeUiQNbxA48CXGrCrmr0fkf8MX4hd+Vgs
c3+0elDTYvgBK4thLDfhkFXqrZq27xPNiWPpUrA69fTq1AnOfc/b6YV9iHQKupbAwqeLYSteuYVH
V5c2QSCaTHKfTjRuPc3F010ZOHmj7oooaEIppoV9r6NDBHmzNIeXeuk/CMglm7LlxA/N8WbuCTck
OHP8ucO5wuNooFSuLwzMRGHWHXn2QOIhfo00XdNCWuTdwS7yRG7NnrqqR1ZhrruLrEbf9RZ1pBQm
FDoFKbg/Nm7PgnbjFhrZ1Xpg1b63XH2mdcy0l/haK4i033si17v70Ws089hPPRRtu8iil2axjOGS
dtUeFoDuV8mcbRhfLVw1driqxfKmN+FdG9Cm3aXTlWUV/bbRGmpgNXm0mdLXbBgsKpzkB86hdpV2
km1dYr2kmqQeahiUtLfIK7PkxUyELl3xnwMwtcvXKrDeoqTBh+LSP0ed1A/aWHGLR6XA4j8aK8Gg
smo6CvrmdDrPVbsm/gdLt9LODM23WtAfc7d8xbP/A90CHhJVmS1RG+z8dua35nQVzQdbkP/znOot
Tss7GQfU1hl2tCGYBKCno7TMSK6D1jtpyfwti4wfiy74U0L7RzrkdHHGa225AgZHftduNkHY3KUq
ViQiQX3yesqOWeScRZrRQjaVar1AD7jZ+JOG0lDHC1lcI7+WTkrXne0BlyLoS9jKILRtL+t46s+0
Bhy5bwU+P4Vq7xTkJNoSOdBE/AWEV60pz3A2CxmCVRFoD8Q3Fzt8NpqWSguKu6hXJlvspt7IJ0dr
9lJvD3OCAOuUuSwM45A2jKm85FM1brBXnSq3oxbJJYYX6s4lHoszO5ScVoPg4qF/tHkLbqd7k944
b4whvZ+BWQEFArgVeBwgdtI/Bn3frntIikg5V4mW8jX2ywvRe6oVe8TRtMOmawtD85uy+2w975EH
9FZU2SnNIxAWobkHK/xYDyy+Yxxv7EgVvOBmcKs7zy7fYw66Fayya0t0RzqVAkyoVkCTtd4Qo2wO
oTZwJHRQJQzbS1ZRmh48GzTjEOJKdo1619qoNbHVUuXX33AT2RZG90TgeF+lOD6t3uAF2FsTyI98
2AjdrUmxBPBkEZx8h0ACbEIaxTRN30lyGoeOH6jfUg8puN+vsKpe9QX78Vpin2qnR6oXxYYWPqa+
Xm6Jy4c7bdSPWeFJfx4BBTS8046hbtxInUWH1lbo7oXI8VxlMDOCAPGYXJSfOOaBBskbBvYnjVD0
lv5rPApxwAPOHvdLbvCWsN0bo6GkxNUpp5Xl9FGU4bNp1xfYKh9UE31MUmyrVr6UafhShpVcd5hF
grx6ESUpYKu5H13jSMmNbxrM0iLDq9aMb8pA2jvGp5cuV7g3bhfdIWDaifuCuOqq0GwSyCRR/712
f127VSv831+7d9lnUfy3SKU+6KdbNwA9S7e4XROrVEik30Qqw/gFZcrif0i/LH0RhX/b6Xq/QBLB
LkWwEqory9vfb90mK2JXWbL4G4A/ZOZ/IlIhav1FpLJBx35R/iDS0mrGH/enW3cxt44x9a53MXIQ
meTll2rXmGVY3JpaERnUruRt8Oqxb7k1QRRIlbUs/AVrkky8U1N4KcnE9D2ty6tZbfoMyltmi9bp
VWVmU+435oJqRH9hP3i38IF+ZEEe++zQ4BAYO80xuIDEQGIQokPw0wXB/krba3H2Tp2rSZVPeQqT
8TY1CGPJrlmHjdzjK9wLOEMrk0rFmAgeoR8aJXTv2gA9gSUf9kFkZ9tezPsZ6zevev09yTlj68E+
NK7zUlkwXpvxgyD62WXSplSN7+2bR8dTF3BhrOzykwljnWaYPxKPe14qyppMqbad8Hz5xqDv6648
Dik8oLHjnElNrdlUBMUOwnT5bgldYqtdnkE1nRlRckAwuGib1GqgqBIus4wdO/Bw26R0PXIwOzBI
9TckgmPapsO6tgg26WX/LZ+C1z5JwK2Ul2kmOKXlgb3NW6PCCF4cxpgdKaX3LA613F4LlsGrkqN0
R+cnJd5anvtY6E5cBm5zOz20IWVPkZF8n/PBxcesnMZl8ORmbJTNcH4rjJ5dsq7/YNzgJt8fxm4+
0cmbwmuAiDG0Dt7qsR9PZaOTPEQ+BEzQYY/OPnOtGF/4fYIGfl1yeeZC7Q9ZdpPVCYbg4H5skw5V
Jk3ata57dXTi8t/DD6AjETt+RtOnXNFJ69VUFKgrb+taxD4IMcSuCxoyD5HWDUeLrpy05CZJ6PzA
z4VwrgVqmCCu690HKbc/P5t1Km7rksFgsGcyhI1tZehNGGf0uYyylVM0xgm0Yf/slrhntCUVL/8+
Dn99HP6fJpf/l1Vx8T9Ee/FniwusbFPSnkgw6UtP+P15CGnbAUJKLkrH1flnYyl7LZMI+h801N9E
e0B1BrKBQ2OOx1Lun4n2us3z+M/GZOQRx+MLdPGrGqz4/vw8DBuu+onpZhdNr7+FcUcfbp+967N9
yHSyNwme6bbpN47NzXFwtgvJGG+ur0eXSshA1cLnRKpXPSa2xumNbWiLLdnr+zEejI3rlD1XpPkk
umAt8fWtYr17il3ey5menSK7zoAfNfssbd+IdoarXre+U2DHLKflmFdANE/u8D3t9dp3gZyt2Y1s
5DzQMjtj4Be9BjdL+RkMl3gOjMret2bB7osg57YoMd3PNqXFYcbYAIUSOOWLqeLnbTF/L4W80rlc
k/UglhwOLWTRkGhRBJqxcLwbLqLPQ0AiPkF2XrFLHFeZA40tkUnsLyEzFDwV8MUBVv9uOzso/7Wq
mzXG6WmJwnNH2gFQGjsMmB3ljBbMJehujNP1EFJelxbGOdCNh2DOaD3KerRVzxxIIA0dmXzNXWGS
3OfmHPuBWz27KA/E42eSPDwi6ji874ykehX1+DQv1nikb/lSmbC2MCtkq6RuXqdwOMRFusurEaG2
t7EZjTNdRGZgrHh24Do0nswa3EYfjxc6N+UmTUFVGjYB8sWjsTcEL77Tyv7O1KLvdhaUO1rFfIBE
6ZHWw256q6BwWJV8Q0Atd7Q377K+DTcNm9HyydOj4p7akir9jMPl+zhFd4spuo3TV9QMpk3kum88
UK8DXt8HlpdiP3UGFIQm8C4WJo2r2Qt8y6OUb3TkvsOTosYWiqhgyl6bycKxEJcIK5ntPI80dTt4
BnE+lp/1MnBUlqFHsEy64Nf/fc59PedsZM6/v/Y99CWvwP/1pFMf99vNjx2kklvx8bHa/1U5/elJ
h8ipq62/xZbw5/Wk+4vFg46iT0OqlaYyEfz2pHN+oQNNKaOezpmtno//QG+Vf4E7u2r9KfAqSJ3b
JJdQTyVIf9JbdVbpuQak+bLgdzHxvVhDaUP/KdZLkZTbQZljElwylrLL2PhmBBC+GB9N1BP4Ajzg
4a8pdLCE+G3GtnpL8d/QGgZepztPi34K8ecskQQ3ryw7kRN+a/HwMCWlG4mrhwwsFT5fRh9l+Vl4
qx5zZQPKUlZyrrIGlXiE+l/NQmTplX3IU0aiBWstbn9sS/bWxGkUMRVzymPY9pIXOjqVhCQvrl33
LG4QDFNlWUL6w2OGiclG6/EXZWyKlcWJcfPU4Xky8T6ZoOJJq51by1Opp4eRrA5M5XBX4pqSNluZ
Eh8VBZZXmTJWeZH9aOK0WsrudYzktlUWrEbXgPJ77g0g92OWQx3BrZWMybaik9PvlZErcTKAto32
7CmTV7lU5BCSU9QAUVvwgZnKEFZgBScZhkkMf1SOxcd7ndhY2vjILPTW66q+5VzZ5vjMZke/cDxu
e3O647oLKDNBmsaZZuogSTLtZbCCZ2ThrexpV/eUmY1Nz3uMu61SNrdcGd70KbmelQWuxgsnpoBT
QdnjausAzBm/HHiwcgVyArYhbrpA2epyZbCb++E+ot+Bf463sTLhdbjxer6MoF4WP1VGPWuEMhiD
lmpcuoJRSWpl6ksSjX2SMvqVyvI34/2LXcSsMfhu1ewgY+UOLOWdxujka508ecpA2CsrYaRMhXET
3Wm4DO2ks062Mh5OdfLgBsUHRRjrIsiJxaffk6J5Cj0mAvw62Bj5pvaVMjSSUgRCVk6hj1a+NZXt
MXYIHZcxDVxxv15wRtpLSoyTGiPDzDZUyiOjoBq7tl2tLWWsZFX6UuK09Ahdcnrz066VDROxmWqA
SW/ZD3Bz1dh5rJaJ00aSBjmDCHis8XQSTHF9S+BMLWNyzfAe3DUd6/0qww0qyik7oSWTfmxfYvyi
jHF3xCSYnJSVVNMxlebKXlooo6k3F7wy8Z5WeFBdvKimDcx2tpdrki/fg0HT1ya+Va9y73p8rKOJ
5KEHwcFRB6vNi54Ii7udlP2VbIOFrJO2q0qZYzk6KZdY5jdgOHgAlYU24ye66nDVUmGxFrhs9dnB
bquMt1gxdjEEl82c3mFQ05U7d8Cmq6XzW6dsu9PwkGYgFib3JlW+XkQ2i0AhXl8T0y9N7AWMB2cT
Ld02mgd5hT2HvbvaTpOohvyqMaEE+XxltfamrCr0Kdcw14ZmfRpTe86Edp44PTexOxcbMS9vwFX2
c9XZfikVIc2hZwEZx1nNDUwZox7v4UGWxFYgaQZGyA7elHw9QwYysOcVyL//YWQspmcO/FUKywwm
nHZXQw1rc14SlsxjCNnOY9XU120Gx8PQrc+qEhcHVlqbTJINR2apU5vApQ7MUSzNKdDFbsJ1CJtj
cY91wTfNfgPqTVd8s/Ks3JYaz+AwdiFhDg2AszncB+j1+1Kf32oZlzuPR6OVsgQwe82P2KcuXXRp
WZiwUFepoJj7ZpKPoCmgr7dilzTWQ7XwrCz1ez2sDb/EtbwSpfMWkv6pZHRl8M2tx1jggBX9/2fv
TJbkNrJt+ytlbw4ZHJ0DgzeJPiIjsm85gWUmSfR958DXv+WsSxVLV3pmmstqIhWVyWwiHMfP3nvt
J8NbxJrylmabp2x9W5cXddaFb6O3vLV9cw9kNDpEuXEA6zFsCw64ldMPD7UPmq/N+P1SWb3x9eV8
guO3ior2I20pr+CUr+LghoNuz34OdIrTPc7h9JxZ/Uvb+IQQs+HFCRbzIKxJbEzToquC3rpN4scu
GFP271XUkI4Q9rHt0ofSs/dLTXN3mIm3KWNdHOTpzs2DlCwQiWK7puuqtZ5H727qTkv4OiVXTmzf
Qe1csbR5Tg2sXnbBr6bs915ZXVtY+Nd1LjrWC943wUG/FSq4HROPt7ZDrtlwWd5KEjTbXCY06lCa
XAXTuavz+zGwDlLlHL9khZZZaP/xVVzRuJVEw4vs9czW9Kemvx49ZCN3wBVHitZBm9jkVZDsraYF
8tkmL2Je9mCw0jOJEbFbjPYSzNLYASECFdyrdLUI2151tc9vKyy2Ux2d3MA3oDfqCU/8mPbmwSYa
xAQI7zm+TGW/cki5FcyHqR4UW3KlMFiaZb4WPwZJ+G0IfFyZI79Hwkcf4fw6hf1CQpOyhhtzMRYw
k71zHGV8TQSciRXxYt4vCkhXXLPy4OGRkhmju9cVF6t2j5xGJw97U0ZwgeW/gRrZOvZzImtOiJFF
BGDbQ9w4147TRYcyNr/Zs/kNCM8HjxxdI69Ayxqbwpcbi+Sa3fM1draoNpnKP1UCF9qN4j2+GdLJ
ITH6MvJeY1WM+1nAtZ6aeNsIasotUsbeaGgygUfYZ5PXHyhWwgnv2RQfDGOyrpMWK1PN5j4ZCrFG
Anjix89TXOTfwNucRiuSu7pRd23n7VO/g5hvy3KHuQrjCsE24vWEu0UzvZY9iSGVP7iwt73cfSqC
5nZu0l47a46T4+3aBDAS7xOUAbUTff0oK+eTw/W2D6Zynce8BBKvuaeeYscBJ/aTo5UAAVEJ+uxK
LnASvJ6sfFrcSGhbqyyMhy2NR/O2VZQcce7nmxh+IeN+h9Sds4bznI7bgfW+dPBE82na00PO4ex7
1wy5r21bn5XMJZZIYyuodqfK+41Hy26crHtS41e8cw9ES0yqN+KnesEMlib5ZRI8ajO4n2F/FebV
i1uLV9hsPCNK+dJZ6lLhNVlPSQD90BCQ2tzoGfMXYSMjPy7JqXXai4qiXT1Z2WZI/LvYrXlGG97T
UI+XRcG5LpOP3HFPTSZyfu3zGY1/OMzt3G9L5V0K4SN8FhyEBqwFN/E2+M0PWWWdJ3O5Glrb5r4M
88RbvJd0KopbmxT+Jup9qp8nlKoxBo89au/OxLoCjHg50xUI1BxQyqFzcOC3ZvohJ2YYXw23sgbh
E5C+2FPV2J2Lpp3XjT0BHiEhUdHMkAHC3gfFlDJzhj1vLjf3F+fR642Tl8hi78XVMWDaokILmC/s
xzHw/sEf/h/x4zom2NL89XXs8v7125+1uOmP+uUyZlqgbhxuVHhf3F/NL+ZvTE+OQw7dtiwdkvp9
DS9pcZMUv3El87FV6yvSz8uY95vEX41XxuJSBjTxb13GnB9V2f/l2/ZJmkqc4ThweEbrL+LXyxip
0bmDcxXdhAz7cgb623cub1c4wHafv7ACWdUKf8ECKVhqZHBZUDVVDQcTlrBjjA1FZ+46BnqHsp1f
qQqS8hKklzIeTbAExl2p4cS9xhT78IpNDS4OkwDlP6k/BcMO0i0lkexTRjG+eVCPBfRjV2OQkyj+
4gX5xhin6Lm1BvNQwkyOiilcy9AdN3zZ1W6ArMwci0AurDdkyHLTaPwyGNhuM7FP2VHW8H2cum92
7vLi19hmv0JGL9rkocpiaIvl+wLhmXgnlzwNfa7cZMFvAjlQA6EH3WtVAyCHd1V9+FCjY+jRBWZ8
4G58i4NGS3e1uDVgTXNju1Swp1MNoU5bl008XGo3TW/N0mbOT/IeKRV4de6BsfYcLI5jN31CUaYy
C4vGKot9yIWwSja5mT6O43yL9xzHgdk3fEs5KeYieOjgZxeFuOvKqd2lOUx6A8Z2DGs77tVVXcXm
WlJdzmg0HiPBOBlVDMr4xKtVNbhQdZPO31BLsTxR4MBavXKH7dDLdB3VIL99Sz9NM/UVhXQ+RWMM
hrA0o02nYeE24eBtDT/c0xxxB+/PPITh3awh43HTB7s5MvUwVASrSMPIS40lrzyIh3DKEWp3Vdp8
mc0afHHE1JjXcbHLIgkmF8456/HmSM+bRp/TKhc1y1ZqLHoeFZ/I+nDYJUporuHpucaoK3jquZww
Srb1Jcmwi/BJsUxCX6dSHWcRPPYkFIA2NaLdshr93AXfY41qk2qQuz+QVzA13L0lb7qmIuaT/RlM
R6yVK8pD2eBpLPyALeiQaFT8MvsXWUBz8ZX3rSUhhlFTXJcTWVa756XsOqnaRCMp/jqafR453kMJ
mX7UiPqEcA5uKZkf+k5hLYimB3xQ3TGEbY8rHB9NgSMyi0p/Y2oEfoOhOTTJ2jVO7hzQWN6C1Pow
4eZLDdDX9w6jMNiYGmSwHCj7S9x8zIEz88uXEBrLLvDuuIv0zkksNm4wJk8gG6qdMUpMdA3ELwog
0M7K/IoE08BFmGj9bPf2rZyKt6nEKxH6IDsYvggIuvOzinT9SDi1QOZwDkwAqCvc1MCTKwSNYdpP
OSGNBCBo2LJmFXHkXfEgb1aNHzNVueXjUoU39FWcB0Xvz1CV35O+ebDs+Fha/tXo0/jQp1fLwmyV
FafYiC9myk64mlNGNkJWx6J17s3KG2mBaMYdJJwr36ZWQ8aA8mVk0Z/OFx5Eh25yrkzD/O71cgf+
Sx9NzrbSFzhi3O8W+9vVD+txo1izJz8ufNz8fBUpzHBQCPuXMmJVsFNx7SxrAPTVgz0N3XOl1PSm
QgtUsmeydDkApnG/RFnlnjCr59FtHuURYn9jOF/CyLPCS+om7H7Zq2yGIHwRMftdV9EjKELthuD1
cnAqQM5TCjpl4nW3dWvsw7wK3wZnONCejIsh9A5MVqy458Y84MagD6EK73wgLqpk3b4UjApGVNzm
XpQ9DYITrqgTjif8QdshSr8jLdy1cGQPpGR3c9LRbDRD/pGgDu2g/1rM43PjQpbmXbz3w/Z5CQZC
ZeZyGzjJ1ZDN7pqb5TvpRhS+cmKtVNwLJtR134edRlGy8+jCmzkzLXxJGVTXKKWHBihodiwrC4a2
Xb7LasQwY+HAoon+nGTphwWSvErVh+KKWjY4jRag5aEDvTzSHHMJ0NxUZ1YPmyI7+C6pzAV2J3aP
0b+JNAt9BIruAUdfcDmFmpYuwaaLAkGRCY2aGs1UByX3UGjKeqx56y1Kwa60YbDTYUHlp5Vs8XD/
8Nbv7dEU62KqYDgwBiepG1B+Js9h3dxWmvPeTDi/uOzgLLSunZgLpxvRgNC20OHBxGdeBSCnuTYA
LrBpYvTzx890giw/YfCZNGt+VEys9fLiAqEHaH2Df6lYW+Dpa82px9q1SwITUL5PGwc8B3D3EdY0
Gre4GhBaTLB6zeOqnGFGuvKBAKwNfsT55o1Bu5s0Kd+GKJpqdn6hKfrlrHYtWH2HBdp6SCD0ctk4
Bp7kfLbFKhvBhxnJA6r4ezPIo9Xw/6G5jrD7M5tftcnNqtVYfwnfvxDRt5RogQv3vzL405AmAK5F
X2uaAQrrHzrO/8yTJqreX8+TK4CGf6Zi8kE/x0m81CYO6uCXmfH33b7FH2m7B/+zPY3E/jlOYpgW
mBDY3ZsBjYL8w3/GyeA3K3AhOiB/2vJHqvBv7PYp3PqjiiklFziMHTipHYItfxgnsQUzPUaxfdMp
x8RANh7pZm02ImVx0HoNZQQWaP9+fpHWQoFU5Hy2NmvwYM42rglimqSxs+/b+KqfsPBhNLgYKe5r
n23LRnXjteJ6uWHBDeWwGnjclW9xEm3nIr/PoMOUc39i0r1vwECzQpy5wdZWx2bcOlOXBTLVkMw8
Ac+7oOgPyxQ+LVX6wmVeUpaxqLWnihs3sm/E5G0DjCUyb44Z2/fjQsMSER4O7jFW+yhbtpZff3fq
mL1m5J5K7mHQ8T/8BM5/tzyrroCfaHF42xYHoucUJQC4cG0qdFjak54nMXzJ1Ois4yw+WDwJmTnw
XVBjw4pzZJxIavs6I9ySZzBaprb93jCIrZRRcd7nPmiOlvtj1NzQx0SdakGXE2Ua0UYWVcYQCXsn
MKPwuvMg9MTBsLBdd5bvPma869HB5JXww63DIr6zwtlcxV37LYbkdUlpd3ADw1rxiJv3cdn5N12i
Csawid/aoNviI9L5WYGFOo3KeDXiP94nI4qx144w55SM7szIFmzHeGY3EVGqomRDYk9TRa+HjXtx
ztODbYMCMAhs7NM4X6B1OivbUy4vgao6FLjZNvT8IWQ6XbJzzDrcOeQ+qTDrLVA1drEt7fQsyuaK
ceEmK8WxnyOckIX/PVy44aaMaJRpJvZmHhAIRCjnfabrPs009vlBiHkryUvu+xTPdqpaoqAWALeC
MZL2aJHcszb190OtLZ44OQ80AoabccRo19m2cUcBnGYs8502yqOtxDO9nQ/PZJ3OE08WDHNboxg4
TalkO9HEMO0jK36cre6WIavcEq2fCaHVH1VOfCaJPXc1N4FzqgNE4EjAQJ8X/SOiP+bLBFToqYwZ
wro4KA/zUIYktXiSYYgSN1j18dTUTAYJP3eEF7JX/sQGIKa5aMBQmXzNqFBcmSkdCmNUGAezp/fU
ZfCg8oV500NKCViq2w6zOE7QYWWkk79pKQBee2RXsfCpOwzO9yDkueRYqaCMysqvuTX0B5fK5L5c
PuAgxLu+hvqWB3l7SQTmKZvSjLxtPCScKTx7hhwZLErn3jKGZ2xTPfv7flDhPrYU8h+pos+Jr0ou
BCPCOGXr4scN14X5UeCCZAqLMMePwaksLAig0yzQkoYjMjcRdcnwgyS2TcrSOBmOeUhs+2nUlp8u
ih8LPEAyLW8n2a0NQ9KZ+iXEKTQwQ74yA32b8BApbSYqta3InzAYDT+sRtp0lGj7UZSZZ4u/Laa/
bxzpFmHzvxZLfqGgTKzGQD4v2syUpAtP9a742oElogy9OFY4nwiJngc3AcGhTVGltkdliRbKxhgG
01yp1ahtVMwlx1Ibq2RnM6Fps5VoipvBiB5yXFgmbix8Y5yCZk2BJU6tBMeWyjxv22kT19hh9BRo
pAJ/F3WZ7RYyEOOQNn/luMA6f3oZPC6j0nBugV2yN9J2MeQk/kttIRu0mazGVTak5iGH4gQaKtyl
2niWaAtaqs1ohgo2LBm/ddqm5o4E+2LLe8P4VCCJ4GbDH/tZ4W4rB/eVoQJMFr63tF0+gDS0K3pw
DnzT+S7WJrlCLJvck4CxOWW0jQ7/KK5+gyGpEgejIVY94WTX1jsjme7KoTjnVmevaWP96P0Ai7N9
LXDtGZTjRlNM26DF8lPw7+577CfJukuG710i8YBNXP+q+dgXTrwdiBwaTnYXFqHBs4CeRJs0aZ/f
FYGxEUn8mGfRNvZK+pFQYoYiAV7Yr0k5YuQLO0mJCKton90j/WMmzrcusLDAsjkeIFLyHKOfHVBv
598mmqwZeeU9RQrt9sdI8E8u22FW+OvZ6KHK38s/6Q7VH/XLcIQZCzyCxORFyJHh5JfhyCFpZmOK
0JwC/Uc/La/+b/o/xUuO+eHHCPSf4Qg0to1JHKSgY4H9ww37N4Yjktf/ezgCkUAEnGUbXDXzD8OR
4xcIYoM13/h91N7SuVHcJ6KWryBprNM8ZdkbAoLc+f1oXoDrhwDmx5hpf1yeZTDRfGdW+X5ZRHLl
cQPcSqNvsTEiN/hQZ3ON7hptEZ5dFyww/io+nju1sxkAqm3NqlYHg5iUshZ2SX0MRqS2s8+EHcM+
LaGCsSvAgll36ksRx9GpatB0HKNPN1Zp6s2FX6M5zM+B1azj3H6fw0KeBlJ/O7omp6syq4JtW01q
zbYw5N1o3mT2gNEpyQCKeuCY4gT5n36zVRXYPSpguqAn+Gn6rabd0bnry2KDcB8RqanfYhWFdJiM
a9Y6pxQo31qlZXa0qOlc9460biMRkbOeqWy0W9xP5Z1bNeYWrqCx771oOS3RYJ/iGG5tTv8Izoju
mPQsbkxUS1bmpbMdLSs8eAI3KikV0tQYtJDlx7ulBSdX53B1weYtK8N1acjwUXOi4Dq1ibCNMz8d
YzDi+wT2NjA1IW66Dn7SLKf62MTdabDSL00t8Y7mfUmvl8cQgt4Zs9HqwYfzC+Ox1tI1h7gUwkdM
SUDPGpio3HHPLEd2XcMUR41VVPAVjYwxrjF57rN39DcTMcMMGqNnA+CXeOUypfbWmD9b6dQHZ0dD
HGlLvxkbcVtBdzSjTnLUUR1ApFtZiNoSEmSokZCehkPmGhPZdcSeZFlcIXR9czVKsvOmh5EC9VXH
2LjONHCyKFCYIVACF9gT6D2nkClrCJWxAFW5aGilF3q3c0inAzTLYiEb7cG3DBw8iosmXhI6YqP8
xFqb3LpyrrwQJPYCJbOw2g9bYzMD+JlKVvsKniYQH7wVIXJ7pWGb/Q8qXJPRAKEF8+HTQTKh9s0F
M4+hgv6rsuZdUSTZWRC+HsDXEi6pA9gaUrTqzEImOf5zGP8QPnTc9q8P4/V7/j4ifXScvWWf9PPx
6//9ecP9xYhmmb+ZGGq5czo2nirn1/PY/C2gPllw8oJz/eH+/+U8hl+BCQunmc1dktvvT+1D/ubr
e6VuFqDSmQP975zHSCl/PI99W9+I+ZtMxwoCqS+zvxjRyshnqh99RGYzjw41l7iYbSpP8ulqkCM9
Z4PVndVgVSxjFlQ45LgyZSFol8VHq5W6zujYpcXuNrCR5aLJs1epA8SUm9KiyRjWJta6n6TYbWNM
qrhtqBiMtTo4ap1QIRj6oX3GJ65b67n/ICmyCnsJ2dWvl8a/kNnCrMmG8EBA/xQBCcANAuoOcR2T
hbyQ4niKtIDZo2QGk8w2ZZvc9Wb7brnkM33Ez5E842pK4mhdamWUvc/FQypVWjNFzn8NEFE9NV4F
iKqThPHtFpfen+p1i+xatiGTnyhQXqYruTj3oOV2IjLeLARbLP1EMBuJL7k+17J65aS7tmOwarGr
9qNCRuJF8U55SocrCUXYoCQ10RqxUHlO8SE2lRmSNWUpJdUQqB2a83XTToroIgGvSivPahqup3yE
Z7dMYu9m/S5lP6eyEcsC1Udrw1pQWL1PC0k7G+bdpDVuOypvFaL3HBfHxCr6VSi7W2+QTzEAh23t
zK8gJLCuThiqWKlA8CoToIAJ3fKlJdk/LHetKuVOxPlJocXHS4Fxo7eeYLFRWJVbhEar4CYdpXWd
o+UrP3po2AqCWsVsMflX3pyma8Atu0TCzXNAjSb9km57rAT7dvBfAdBhsm5KPIdVssffjRWnqD4z
6WH7044N1nG7HP/BbLLd6OcDS+qU4zf9aFv7G3IezF0TKwwehsijLEabGmZzLLZkL51nnlImj3Of
OwAuiAo3BI65Y447wh3iXetH1OPmSbudtYXCirx57//wA5fu0G+nUbPzpq/Bkk06K5ekQCaa/dKg
5su+OTkGPp7GqQ+BR9amskJah3wJPdDxD5YRlUg96j2jriehuWzsCphI5hqnNaO8CDBWEllFKRof
uIfDbAgiInRywOkUxpJ71SC2PQViKx4Q9wHFtOzQbTxaKASBdw7HTmBNJCuTa96KlPmwJfEoqASr
KEXmnb5DhcsJUi/D1UzEOzTiTzvSw0VY3PstoVHl2S07Vr6XuJ+g9NFs21GNBIp9ITnNOyUt2L/b
cU35p3uOC9OkFjN1SAvzAyy9L30vTl11h/+GaGzrA4cswiMVmdcK/NNq7GmlsqqvTpdTmTan74VT
1FtJsGZjKCPb1Auvj8klmus0bgRMytjb8xpSFHnGr2N7TtNjV9GlWTWI/CEvg7EI3+dlwd81N5dw
ycSqtI0HRaC8FOiScxM/G1H2LRt4y1jE+LZ17e66oDkWRoH3wcakRhTmsSnD78FYYUNUvO7QEfew
DMFGKUZBo156zHJNeTYs5V5EWTwaCZtsNULh95EFtzJYwo2iTw0lDIps1JqIfdN4GduMNlMJfjoP
koe45dXsOlTltTnsAifkN65CVmDZvNxVIY4oLUMRDh2XdT0b9zZPaNYtvLHipQlXxoink+KukL0+
M2fV9M5BB2RHJz5lM59rsJu7wrGvIHI9gKV5DN2k2ghrPIU032ztZYH21VVAc29qJdrXLHA7ECdd
6aXrbkhx844pm4LRLqwdRbvoa2nSvflBFDvnf2aCHzOB5lz99UxwnzARdMnXP1lg6w/8eUcTDj5z
Ai4ON48f6I7fr2gCm7mEX8kGm7+O5/9/rmgOm22W2r6H/xxLBJ6H30cC+zfYIT7gObD+Fouqv4V3
DzC5/1cIhzueR6jHd5lZLFqJGGZ+nQhiqxwxOtvWpa0aJvizkRu4/1aBY3YF8WwIRlS9WnaG1Slk
45VMw7IT80wOfO6hK/pELW6GqqGCvVDG0XVL+zKArthMVldeFVgsHmYbCW1QTn2GHFR99sCnTlYx
ZQ+OmIBqVmlQrnslv5G+gSLu+OFOYCSgPJ7U35fYNM2AtwrKaztRERPk+8wS02bJS/cDG5z4btjJ
cm91HnyhgOQeKhAmJnBl+Lu9ZqMsLGuumRbrJJbZbVEM4aOVBmyxayOPH0yaaiKyK1I0yxHod0h4
g8555DMhy8jiLxzMcbBWo3BEG29Yd1bzO87P8a5thT9BT28tZxMu3mhee15NA4ebNOmTkS6Elpox
k5JqYCZzFto2KrQ7zs2XbBiILI8FlfB4ZDaSw6it55Pf16gGpRtvzLEN3Kuxttt3nKEecZ8YsRAO
IXs2o8HSuJ6T0rbx3nXpcY6RPzYVgwpwllEerNEVm0qmnz38oFPtgcG6uCk8Mb+hDeV+SeGHz2Sr
KTCLeWFOlyLI59L4p+zh3/Yo8//bZrbN/7Wp2vevf7K10R/4+4lA5lgygvPe87Vs9estAQiQY5ks
dSzyLD8yzD9vCQHgIAmd5X9yynq2/3lLYKFDoayASM2pQLzgb90SOE3+cCa4Pp/HDDQJiUwNn/e/
z4QmCpVriLG7MZ3qeeINtRvtZmMQCqQ4sWtvjSXERFp41avrQMQPdH6il0QM/AJJqTPGkm0EUlS2
lO3aDJ0XxgEJsMzH9yfoXlkc1JsioY7TbVGZemeoQP4HUKLRDhgJlgcM2t7KVn588mr5FHTlMYpj
Cqw0xkS61YnITXRobXnsE/VCwb3WZeoHwOozxsYkOAgz+qRX51HZ5hXSxHVlxngMolCszDblDeDi
k6wn45xPyX5uxIJNG8jNnL+FvXXqvbq7iqfhwRyjfBc1OJKHCVcmes2H12bGoe8Vs5By511QqW9e
5X1j/5ZuUCyGTdeMl0DZr6VVlad6oD6W5dy7NcZ3cYWUzJf5GZTFTUYDl2+Pck3vVFU9q3SOtpYp
9kBkCHCQbWMBvYsqFrUhUw+nyTcvF1ulc3BVXu9xYn6V7XQPPy864DDzV8XoRtsMD+UmpUV6Oxjq
BuwKeB3Sdgmpu1HH70hhwpmj+JGGa8J5LJj2+Tgdba//Uuj4XqODfOQgbhYd7fPNmbgy+sit6qbo
XPdqYb3uO21wjo36+zLEVDkxpW/paXVwMbPEdzTLvki4q4HoDY51M8d3dmY9sWpOVrV2c1jQlhaQ
SG+LCXEayEgwPA5eHl33fVmfFrNoAwSj7EAsHI+IeS+YUVd2SR9tyWWFbHjyrC8xqCaDv7L1ss6O
pLbe1mrjVj0dYEZ1G6XgHzzaEjDTPkqDmtApbb8OgzqYuXdyhpIf8VxswlS91G7yVdrFOTSouNI4
GY5qnBLSGN4d/Evr1LHfSBZ8MWpwblRN7TEcVas6Tg+WyRVI0s2peCQaFn4mTeqbS8A5KWakPDt7
oaQgDXuCP8+YMsrvZl7525GS2pWHs2FNA7JLZ1r6KTzj1QVlhQ/7Po/78zwaj9yMv/Q5N7E2C1bN
YFw1qr027fBJlenVPBX8tkLrOSrskh608DFU8qpP+QnVVuTs7FoiL/jBdWkRFJPTEyuJBVtZngJZ
CdqVTMwPklf3U5teR8AUrTCIYHSMN5Nw7m2e2KsiTPBgiyOQ3TUcs1PEsnDwpqvacD+iuX/2qdOI
Shdx1dUdfwe7LVa1mXBb7+ZXd4C6k0Z4FLMExYBjDtdWYyBOawUoVGOyHpP2te2Kkx2Ml8y2jpjz
nrHOwSOBDKv9vkdiZsmaFyy6rZHfI25+1HaBEpLlLeW6PrArCLnIFf4W9GS3BVBf7GDjHWDzUP9V
F+mxlLC7Ohr8LNRbfeJySomKcrLxtuK5zpWzN3fDON9FJg9YYTYHkx8BZ9KdPXuXdAg+XQ/adC29
J8tzLrYD9MgeEOPGmQrTSh9xLXAlSCwPVlDuconpy9J7uw4lnQV8fii4+4kcN1lU9N7a4/U2LNGD
MJ0PWSC4RJZ/ycY4BHIF7iDt8nvw0zBSIlpSZkt+WInMtqLMyeR69Xa2dQ9tQt8tJ+kOSsv3tl/C
h7Sh4DppxWOZjNTKCJl81rFx7VXjCEiJMyJJXqZ4vGmD+FC4/vdFceHqWW+gpJoo201N807nGsFK
dEvxUmAZiC6LBcG09/D7OcK9cv32MeC+im4nrdWyVF+I+wSsFUabBo7lNRwDtZJj94EHm3Kpob11
kvw6jsSN7YZfVDd8F8NQ8jZuT/libbPIyfFfundDtlyGwOjwlrUV33+z9XN1No0W68RQmnjsWcZw
tX20FTJnaJ7yKn1OR13VyKTNV7O84tu8dM38XLjTXT2lt7we+CGo4anIxDVxS3PVa01+ZOfPhmug
lA1cvU0WA4OkqdIrx1RPpRWsQse99aJuUwdOufL5B+XEciNzDxa56/CQ8xILzZPWwdJko88ZS4in
PkAeOrQpbeay6Dh2PCLUng2XU5DH8kSY7xkKj8vim0cjm45l6lHbk7BFwLdhHVFbkw05mmFb2XUJ
WAfYJeW6AkZWssMukv6TIf73VKZnob++pz28l/86D0n3r5sPrH5/MpvpD/9lNkNNYZAKLC4JvsbB
/K6oQXXkEmczGpn2v3kKP2czcMYBHwN5GEmNu9QvEBnnNz9gbENSM2ktZtr7Oxvc/4WQQcfzXUpt
LT4f178/7G9bbPcdZWDRDa5LVIqrxIn//Rr5y7q4P/rj6R3BakWWzwU8KyST4B+mv4ITl/r0WV1H
Gdp2PND1aFlpu5OFuih8DmTeQdnsF/3k94yaPhzR++4D60jWE34feBfZyqA7YhFqLkOLWXddDLRj
XDzPMNXW6QZ6Kc1ayGXbTSbhwsmsD1lcFNsWN8NeqWbZtxXe1kl4Yt/GTrNlRZTuba/GHzV6tylX
s31N0xSG2qjdJ1QSWduorVIDq/60VA9lu8TfixScoy0SDDJrH/LslnuOY6XQxfm3raidQmxjpzDt
BwYP3Mp1o5q7HutPmzQLUTBBy7iKX+1a0HwYo96B9KJ+NDvaY7MfpXeekALZDxrXQzw+u5n92ATd
Q5st56gcnz1SLkQ9G06qxDk3rbONnOYcx+lRRFF2FC2cYFZTV7hKMTkUPPaiam8m5OrMMFkt1XzC
S/9Wp+m8znPprbQzoU289BCUMWZi8yP2MpT82pZrJ2T17ufiW5xXkK4JGsyVR0FawIEV4XPZ9UrR
emuHyxWb9quR8IzCYNpT0L4vcrfdJPZCJxc9pVNyKSbX3oY86VYRAMtlaY84m+81LgPJ1OWJZWTH
FlMziESBg0O12zYuHqq2v4ptTZmcTe9zHlm0z200rU3L2ylcwislki19J9xfKc0qRhaIdUPfL+g0
kcb8WHvojODVMO6nrk50MTUr3MBdWboYEQKL+gzOYHPuLw35Mli77XHM1LyvcvOb4w1f6R72923u
FSS6CyOHbuYmd3XpF9iqnMRdCxCOXLeMU5ClAsuC+ZkZ8XHxjOteyKc+NvZ5jBfdn6HVZb6O2Z+X
wr8by3KHB32TtuG2I35feHSwTbm196eeqlabHzwhrENnji9i4alUs+LEefiFfcAFHB3Td6tObm7e
LnzSUZSXQk+/DjDC2ni3OorrDHWsnOVshyBH5TPWl8pfTjRW+DsXvGkrXQLMYhWP6gP+Mm5KDK9O
kZ1da76NwlRgxsD4SmPZWx5ZbzY+SNYk4swzDIKdc9PEhxkbyDpeBnJXS7Oj4OTRV92TgwNbRRkj
c0wucgQpYiYzVOgxueqr7MiGI18to3iujfiRhe+TUesunGkno/q7JdWpCYyTQsxZdal3atJgn3v5
wADZbQi+DkdncPp7Z0pPfH9Xbmp+IT2LH97OE4zcaJeWXafX9MhlB2UU1ls1wYnq/IpiLzXP4VPR
h9m9QsGAFsitx+GSiCumB2xsZBmRE12X0zN8NRbkp4m3Bb20bnI9OJp6mrdj2K2Hmvb5Da5pSTFr
AG7cb0L/g7GRHbTrPRsdvqqx867DGAE1zGsCO07Q8WK2tdw95FckpBlw4Yr3Jm5Mu8GdE434qIVI
r7DXPBR1hiOQCvnVWHfRjvX/q+c9pPzmNwzry0aqrjz5du5dQvhQW7UQW8Qy/eFEJAI97kW85QJ+
R+4jMC7KddM5A3QbnWFnLas5C++yvvogNbBOQ2xaqUVHi2E+hB6/Zbv+0g3ZFiPn/2PvTJbjRrYt
+ytlb440OABHM6hJ9C0j2InNBEZSFPq+x9fXAnWVSfIqJct60xympVEeQCAcfs7Ze+1NG9bfqANP
oD9DCN5InvUuftDCBpSB9ZjRz6aao+5DXAUyJ8wRbKU2csHhULlyMcB4CTGBh4X2lQDsfp3D8QzT
9oFicc2hB4U6JH2cqKu85GuOOuoE606k1RcQnHdSZJRvfXjdx8MhdbpNXQh+4F1450GQDDp+on1/
bN1k7SVYk6m8rup6PMnKfOh9eZGFxtw2Wpj5TLQ7YkitsV21BnVIr049AWeZmtEjfNQKC6a5JqwF
YkZcYKW1g61XAQ/29TSbh9K8ps3OHYwF2rXUuoGQuKspaZFEqYRh+Xsgt0j0g/QcBGO9yUIPrmoB
21YtN5JI2MlAqjT9UU+5+sS3DphkNmXk7TDDPzjoz9wxm+d2xFnW3kQJAXaVm4DUiZ4UW1kAmWBS
iY6kaNwntY523OtFMILFcjSHUnO4rHKVj2lUu1BVNqU0H10137aYm3ErXbuGtaA5O66qnlznBOy4
avTfXLVDIzmmjyoA/5kGiJkey7pwi5skrcdFlGab1msLgP7JcBACG5amHYjjfTRdgAYlJn9SAGrA
rgj2MsPozqpGHWOXnr6M7PI+VX04iap9Uh1Eql1aFFNSH5F2WHpX0jRfIFkgTVE95b7LTZ6XUcRL
PEzuTOdc/5XYEmzCeuJzBB60I8Yr99u789n5uxnv/6BhO2dBWlf/938+NqCmIwhNb8JGOYWQ+S0+
N6VFJAXp665yEYa3ZvQlcp4N+b1D+bfnnN8tMZ203k3CB55iM2pYQsXlTrxCk5/68Pzry5jUTX85
DX9chkk3j7G/KfVPvXVNawbyAAPvRPALm+NpRHrZ30Ax+fUyH0VW35eRHFoNJCCaYU2dxveX4qG7
1K2o9U5NMi6L0OdgODWKbxvj3LWCPkhJCbN7W/NfTZ5AfPH3pcQ2HX5SP0x/82f9IP8wgatz5Mdl
qqsGX8aP+kHYVAmq+qfqjkfuR/1g/WGYMCstk8Aenvj3EEpKCyQhPxIHJ93IP1HkmT9LStGnz8As
nrmS/ulh0f04F15r1RdJZJIpm8UBcdkJuqLLQUN8ByfN8ZlnLA3crD41aRt1SylqTVCjakNKWgjM
i3jPMKEYMEYRoihxFXaypDvWmwVKVxn7+prxSRLDOTLioLr0FTdstYXiOln6OJJ+ZpytpnHKdGGh
7zX2vZRd1WMeLMLqiXlIOY70Hnj/q/O+L1sHOn3rl+uwyp0jWQs+1OsSfX/XGbdFRuivTYFfNBl2
ByMKOfIVXbsPhmxYYYxMLyxQF1fCjLpnNZWSrTf0vefWKPtVXKnJITCjbBkbmXsRKsSo0Y7zNwh7
EpjLnT5cCktzt1WTdccoJUhE0H1YlG7+jTMLwZ5URuUT8lvMrLWhNXPflbSywOTcaF2RzLmD8sUe
Y2fd+nF3wEmA4G4M1jg69St7VONlr3vFLG5UqOq2QGAriT2nH6sOFyWd6lXUEHRm5CIHrl/Rop3p
Qn/ma6o3BR57Kq/cESSk+dqjPpKI4Y8jUr5Ia7TnyKjkvikqbztEYXU/1Y3MjjXtnOaOtxjtpDk1
JHpwS9NtAVvrWvC6jOehqtpHAmEc+CaZfzFMSSPewOFKTgkkDnr3ZTg69gXvZbkBSE89NZCM6kO0
fDFMSDq0bKovTTKp6chtZxgQaEddF/E4M/0qWkFXo9M2Ra+IKCOFvpDVGaNXvqgbNdvjVSY0lqQX
bNfjkiMYCX9y6L91hh9v7Dzxdn0WGHy20FKOASmUO7DqMc6YAbJ5XRN4WAxkV+Ye0nCSc8dZL0to
Q6PmuLu4VMwvNJvumAVoB02x8xMf310pvNKPVaYZq7os1dMw+v0utrtw6wV46jI6zEejyocrvyQ1
CO9ysRyCpl967eiuKgYW3vfd/N+dVWO/+/ud9Zj9TOs8/c2fO+t3LRy2Lc1w2MH4X3/urM4fpNsz
r5LCfBPX/bWzsucKejW8Hf/cj39MzaZNl0k654zvmrx/NDUjsPnD216qksYMA34ciGzjIDc/ve2r
kRKqkY154enpeOA3BfiaOAyoK0hheFzG2eg2mEMVzfRjGiWulR0HlXCEZQNTF3WOVOOj3QQq6i0o
KHR5CMwZFGPpKo0ROoQ2pVBF9BHjCHE7ddh4d12DH3oxqp4xtdotxcm3Fax7dDCtNPvLJqRbS8mH
WcKaMI5Nn95hRgjmqAo2dYotoqqAPhatCi8soIEPS7NauY16E8KILFMTqn0SLjBMXaUTRlJQTJO3
muO4T/Zp4R4ExMmhorJBv+oSnpism3xLSCdy3glTSb8CJI3Frhf3JOgEE86ymcCWbT/eJZAuBcN1
phLkYzRAMPMJh0mcCrFQib0rIWVqPcjMoGnv6x6IpvCg1gUqh3T4msRMIX0zW7rqE3wTjXE9162x
X8DSj5GCAekcppeSrWpLVTYEKzSgPDuYnvD+91h4sYhOw8fEFV/7Ps/AxVUYQIpNQK9jnsAIDW38
KbgZvjQSq3xYwB5qIqCiE150hDNKs2pVWIBHYeESJpFQYfFi2Bp+RAljZBehll0VRTd3LWKbYJn6
CLpnLdZ1YbGHQDolkAD5ud8uap20yTgigQ8ObwtjCCnRsswZE6XuyPl/AhGRHhKt7AlORGzFMZlw
RQxCwgMa9jUtpTvg6mQETXAjxjfBQjG9c2/RT0YbPRfAkFrUQFicyztv4iSNkdwj4riuEaOxa7eY
wsQmSsMrelcHQpIW0cRcMif6kjtxmPKJyFRCwJmrvXNWJ1qTXeiv2cRvEhPJSYJ0khPbyafhlOrR
rUWVPYk3s7w4KX6O0nrCRBlvwCjIUWGcfMFzthgQSTaq/qBObCmLQM62i6/7SNI9nM7lLugq/41I
NbGpxolSlecljLWJXOV33V1qIfgKgVr1wK0EkCujotXjgb0i0eMUVpJkDaYnssZ1TREKQKKbNxbw
fVg3iwzl5EKvm2s3JNAjmwhb2eBRXMLcKoBvNeb4ENneIy+pYA5rKqQShdQVtoYAJ9fctgFMDBHB
88oAezF43CHqeSK/nW7hxP7SgIA5pIIFExQMOJiiZ2dysjq4Vfo1B3l7Yfsq2s1euUCUdYTWBGAe
2FgfxHeBYaXrFAwZGWb9JgJM1kyEMsWHVZZO1DJ94pcxNH0gMYR4DCgE/MqgnDnIIBfwzNcI/Mrp
dLNKJiaaO9HR6F8zegSYFlfDSQBQKyeSWgZSLbes26xw/V050dZM0b8yubsKJw6biY8T6Bxstmoc
vnUtyjRExOnC9TQDxadFbnJVCzQ08N3cuLk2XeKVTYwnwCDxN2V5gLRvyOQcUvkm8von0wccV5tp
uuxNh2TY4ijAykV1ry9g8eG4nPgFElvICNCgBGzgZbDlxuwhfSMegD6wJgYCojdqXagIdq+ARmnM
K6PXjK1XT9L7iaIgtPBI42/HK32Nwm4Pi/iSTt4+icOtXxfXro+fb+IyQBU5kJ93opt9k0/kBn0g
VZYi2dw77IvsjdhVcUMugQp36xD4QzpRIKyJBxFXLmgwCBGdR8shaLsvzkSPaDKF3/RElIC6/dBP
jAlSRzjPQZ1IbD2bO70GCAQkhda9dhOhwppYFelgEPaXPPTE46yF01zHNBqXbpt9KUOC6/RK+aIZ
8tX3sDQMkQWfU5dbtcpeHM3gZK1+awUPA0HBN3nJF9YZ9AZkzFBfeGmxKhLr3MKa8SB5wizoyAWL
2wupRFdcKhw+/zQmhrGSRmGTQo0pdoS/gllIX/gMsDhgB+gh7X5rdLT7c/ee8DNa9XHwmnQVVhKD
TDTRjekGqvotvRlygKyexLLvR/h/609upFSnTPm/PyUdnqrq9ScxCNNf/XlOcjAaIPFH6kpL4G1+
8+OchJeewRUzKBzx/zEa/KcC/R4+RmHBIYqD1JuT7Mc5yfmDngLnKqpQlVH/P5tg4XT4fE6iGcJD
KoWmGqpBusLHdgUgsJ52stmdBlJoIVC2Lh3RxnIGCo3AXyI139djRKtqCNs2+oLNky6vUO2g3uZj
MAlkIbwdqsHpxmWIuQd0UZenGcKNlCbMCwMqa+LslO64xHSGP51qcdObwnO+fY/zGaqqKlc0sQyX
s804wr3Isw7LI3WqQgfFJEgefU/UodwYMwFbyXqLCko03itLwxLYPF37rWaJaOW/RQyVrWfI21gg
51kxwkeDLzgApaZRb3KwQpteJ8roW6fb/coLqfyWnheiAERSxXss6rFXuXb8HJCMsHDgiCB0zod2
qcTUue3kaHZ8jEFqQhe95VTz3EqKz3FM9HXNEdGfycIz1nLwv5mdgmkptb+FKTspWyFW9pz/lyuA
apW2Kdcc1bq97yFxsqmqZ16AYDmuUdNTIBHOa5G2pREOUC4STFCzUmUfaySNXXza6gZFuT8jDih9
EiQbgtrLvF1eKvHZmF7kcS+cNbldr5E1yrUeY36n922sq6wOlirCZGA/qKsN2cTnSG2qOS7wbZK3
KBw5KC1tBamPZ+uvfqVkG9KHeSwmD3rC6AyjnYev21SeMXF5G3OMm7lwMrKdIAVYpJavcyLXmMKH
LRSsEvFCXONrABlb7RC6YelT/PDIZ+ZwkJnZLupw2mH+XWiWNKh1u+HScVyCNB0gs9WkbMo6HOB6
adizrnHbZTqWfExbv49TzjFegdm/nOT1bocRHQ4Yaokc8E+T6eFaxGZx6aErm/VeV19aQdnOwFQW
5AsNA8kQmQbySnX6ZYVCfVYZfb7shdVMMULF0u3TaCPAPqKHD5PNv9vm27Y5TcL/fts8vqZfs5fg
pxXmO6U2KTH25MCyKRaRZU+W2T93TgTZGkpNOrlv1inaZj92Tixf6qTYdNhdqEo/6jJp3KEXYIyu
yX/St2P4/mHXnBDicjKCcZwyoeo54lN1aTH0stmAlBNUx3lTBzDKjPHV7QAiRDI2MQuoKwn3thw8
UonI6SivHKDjl5rVKuAorCy1rjzPYdLsiIG4kkqUmK4Ca3iRCsxpE/UUQwMyPNAKZ3SQbcCxFdMB
VGLGGvpJSXZ3Z6/p/fdEISrOCsTIPYNz9cUr4mReaH2+ynyLhD+QL0yzwVuTVNwvdasg6CzSykcI
JYLCloCt0W/lrkutXRii9OnYLom+0WZVo6wbrXlOeqKm2oJEx9iZ/EIa0ztlOA5e5gD6kUtyldsL
O2X6mJQMSR3V1tflMJBznuYIh6Iew62N6WNwoqXNXj7T3DJfjnoHP6+vzmEFwhn9TfzQ2nK4FoKz
NtaoSokugsLzF0BlLnHqUmprggI9zGgEBifEPi9V0K1MG5SWUcf1zG4l4WB2P65rqwt2qaVICM9B
v+X4qi4rWTCUosLsZnavZtwzzEl8LcoJbxQCIc8hezDT53VgkGtcyVnUZv3laIfWOq1w7Petespy
3984EYNIZn/8UTSOwYrxQYonRUdgCNe7yzali15/1KzUWfY9rGOIa0o5C32C22fEu7vXOJrydfsW
4KJBbtqmZYvptsqCnWsq9jEwaL4iF3CPkckfp0fBKOtSNP5D7DNz81PzySsTopMrZBbCcB4iUXto
7vJvqkPmDXGdh3iq0+xwOMXQ2ub+kHzzR8l83KtPzJ+HeWIZ6BRKG190SnWM82VbtoW102CZzttw
uAaLwNeUJGsDHQjwT3BhvUTgaQwd2ixwGR0foNYatBFl22nGsZW5smPsgRyW98xZygrqTAnmTGVo
LPW5VtG4zBkVH+CeIBThQTux2UKFLWSxN40sWygZntuy01DTjc2axvhj3FqLWu3R3il9tcO9qOMU
9gQHYte+iJAXKonzVVMq8piSy6wh003Rj1VuaRCulfxigN+x1UwEMWDJ4Rcz9ElqGd+oqFGXtv1a
MwwPYgvRjnUYfMzjJJ6uC1DnJigyrvkES/sgk+QR49FeiuCQ+ICsgka6x9SmkkjMXF81PnnDQ+9h
u463ZQgxveBLsn1rl3cTPALyyUyL7CcPyTJN9ODUt0Qs96nDCL1uE2jNxVyY8dap5dIuy6ek5AWX
oTck2tG0OODjXi5HGLxRMVfhbKw8Tb3Kq27hI2SzaNY7GN47ASODhpXP4T6+xQNy0ozmFhMEoBdg
QyZoTcfEpjR+ywtxJcdmazXk6iHxYcqs0xZHFaBEc853Tz5gaUg6ywo+NplY9rmK0is70746VN7Y
yfVXUElXBsmAC5SKxwFtjhIZJG7q8ySklWWIGnFlO29HFV+3m7zwir3ppudRROEWgs95zPpTQoSi
FXpbt882EIOwALJ8LNXLJO0vBrxn2jhsU7dZKNTuk0kNTv8G5sI8ycONWfUrRao9O1HwYtpANJR8
oxB/FPnWcsizU5qr9jIl6Zo5CRSmxjtrdbwIWm/TU+MnmXJo22FFOvtTgZdkiHrq4eQbh/e5Sy+D
ZufcrWNq8dfMba762uKJVOExQ9rp0nsJ2bCCHCUM1qhL5D7aCZbmdVWbK4O8dun1FL7OTRyOGmLC
mJ4j/vTEIDbddXgCAX9IS10xKv5GrPUFO9wK8CfJfPbCtEkm9Sp/qwtOqGN5r4p6N0r72jTze9uv
rjy0sU3yNR3y10JV/TkHvJmlT+ED+apyhwVCzqWv4gPWkXmX/jFr9SvNBWiq0MIs0TJ1aLxVdaM4
7cauSDP04+tQZodailsytzFrMtsxZU6Lk76/2qz4KV5Ujr0SerXTXbRPfbFEHgFiIa1wyNHBMQzt
pWuye/4pSKcY3YfKoLmEimiB3n3OhOqpSqt5aiv7uM62o2LR00EgjnVv5WNtQvTqFjiFBlqRpoWI
uL0jCuCxxpA35NYWSC1nVgMod11uUpviugdsNUqCTsP2vivVu6wMrzJCDl2jXwVuw72jNQsdyKol
T6e1xk51mWbxPh+ByihU8IG1sXv3hBFnmxrJrnUFsbAo9tMmWCXxcM7diYEHfL+zaU84B130Dzk9
THDXzVxz7Fu3NC+rsjqllbwiWkudMSm6bogXanP6EuVINIGMD7H0mFsU6qwDyVpOG9WY3Q9RvddK
uc5zPAx1Nw/1bl5106EnhcyX3k7GI6Fle0Uz/JPiqi7a7iC+rjiTzket3pWwTUdaZi2GDUUJv9In
uA3rBHheB3LBseoHWvLA5VHlYMWE9PPVTEAL1cU9STtbVAcn9lvO/mW0Fl21J1iV32VsRfNRFQ++
rPKVo0c3SVkzwOujdaSLM+gJopednGj5TmeCZ23cyJx3mpIsA4QYbQVQ0evwQQzalBlHah7OZw9Y
uNvvenrGuQKNqgqfapq/DLcAPhGUMsO4vGwaFFW+goOaE0JUN/ME+s2iBzPVKvbXlmhoRmBrhqMr
MomXaTZR3EkWoH4cV32S7ofa25e1vAGXy7uGWM+0wvcSEEvtd8oOpT3POqhCRGGlyLaxUh9HpXuo
yvylsculF1YO/TEUMQZMyETl9ffuSPt70cTbCZHQGjxCMF1ADUyT33eKhrorS1SFqXJSE9it9DOj
KwVB0K8XmcbD7yQN/1nEFELVDY622lTcv1sE7LBqQn5WTr39XMI/bR767JsHE4RS8tcr/ezAq6Pw
/LHSp0F15maDGF1W0uwL35i4V2I5jtuMLIHmMcjM+a+X+6QH+X5h/Jomo6YguP3ThWl21tjQ1b1z
qzzWzb7APxS//HqJn10Rp2UOyyyD7fLTEi7dMNXBOXCGghd262YYljG2mMQjyQPFTn3x6+V+ckWE
u1G0IAimD/RZRDMhgLVBrYNzkHqzQKc2nVSzv7kmhm6fn4cPi0z//93zULlKLU2XRcISjh9+bsdf
/O8uY7rMdyu09Vi3JUiOM8hjE0hDlN244JN/vcgnCc307X+4jE9fTR4NUd4mVXDuFQIj5dwJcDAg
PLMe8KCY1Ukju/fXK/7s22GczZxQkj5Fs+7jZUUBieApeLmzVVyitCIKY2v9QxnV21XR0jMhQPEc
IBz/uIYrdeKk2zI8p5W/TEx029m8i29/fSE/u3W6hVvQQHtggdb8uEjW+ZYVBGinyvwhNQ8+lWLI
ZuBgTGn2Bi2Rzr389YrTM/VpD2KL+2vFT18WXECnzMUAYrxXoInf4az+zWYgPn47U5tTCotG6JTX
hQ7e+bT5VBlTPL8XyTk8lNt6y8vzmM3lUl76V3JO6s3KniurX1/VxyXfCvwPV/VpSeQ2SU8LKTy3
ZkWZTJyfw6aQfW8A/a3s7ef3DnGdyptTmm9JZe9+TaTNmFadqOHZLcjggSZt17+5d9Pd//ztGLg4
cUEAmLE+P9h5pQUA9pXwjC51BpGD0+ZjYBCcHYa/uZaf3bH3K+kfnzwq4qwUlhmeBRMR+1K618X4
m+3t50sguiKPkV+S9elRC0TU2gZ2xXOanmTTM7jTZkyafvOq+9lPiIftz1U+ffVR2SJnxhZwDqIX
on5cXVmWjGEYNkf1WcGjKX/zHf3XZdF6tyza75MnRRjGp6MCchiCYawsPgNnIbER9msxXv36cf6v
B+3TEvTS3m/baetxQ/0iPjMQmgmFjKxQ/ua2/XyJKS4CCvDEB/64RNj3SP2ptM5V/KKMW1LRfrPA
fz3KXAOBOZLfCY03pCIfF2DrtDqRjsmZc17SkPkQbgM01Knz+nav/pX80PT8VVcWaOpr+TowuvqE
1Jr+7sc4C6QWPVl+fhMhi/4qT8GfTVnxhwMYC6ygaf5nZvVDUGn+4QiH0Ecs9rrFv/ZjljWpKfFj
qRzDNJNf3D/qylpy2mL+2uzQ/Di89ABz2brOj0mf1J7vn/IkRzg4gIe+SHTU6zle90WmWg+W7S0z
q7nTavM2Gi8xSRM5JZZaYV82tXfrxiNpRjpZezmVU5EOR/OAW/ZF76LbBPvrQuhluB7K9NmsaaYO
nbfFzrpRPeSX6CTo85bu3AdXO8cy/qikbf4sarw0OkSeJTN7l0CNEG4++d2uV+7SjlNmqPt3CaV3
OjgPI+V5nNsloUHF0xBGl46vP5WmuIeAo81p0RwBnWekgEXZIi8mkgw9T5lk7d2g2o8BRq99mgt3
KTpp4uQKb6MmflQHa9yCvdu6TG9ok2LELbTHtkouAO7OB9O6dsp1xOSrwAKCgq+7bfzgwQ6UTadm
d1WpeDtLyxdOZcyTtEVoqa74Ji76IbgwmpGOSTnFqPhfM2IxkUKRsWB2F06AxT0LtK2BfbSoZ/5A
b0e79opjSQurjh4KDXsRH3FdVSCha9EuYoPGQy2Zr0ShRnFtuLMMZvGmNeGQuJ1OIakczCTrNlkN
PcwNmmWXhbTAzAOJAuPKIB5lStveFFn8taT0W9Ralc/8Ul2XkL4IyW3OA8RWNaSBo7ptClWaJlZA
nzdOWS+m9yK9kbNl+ayOQ7CoVE5N9rjIKFp703WmkI4D5fUpzp2LJDcWZsiIKhvCQ+dNgEpcqZIx
Vm1MyGFVAsifgj092lxzc9J7A9BGUmpV1TwIargnVs7DFjj0TxMCDmrridbp1sNPs2oqOlAqnhka
/5edZVZzC96xWegvgxYWc+zOV6lAAObzzeF/v5VMq4oECSgvSvtQKGIb29kxD/vHNum/+FX1nBeI
JEU3uIvRNNF+hE2IEwyVTRTWeB5q+FhFdNcE5RR+gKAh8JNLtzJ0IG39JhF1tsKjkDIsM7sZqeM6
PFzSKehMJtmekK6TgXkoIvpQipjeHE2+vKWtPsQ6zpv0MYYTWovumI0aA7c63RHkcVCTbKslDe53
bBd2az+HaGId3yOMRotnpk30aBVc541yS1G5VdNs15TGa2aa20j1ToqaPqZVjAsBMgA2j4Ohl3so
n8emjaa45P4yJgWtdwOiQk0CG7pN7mTY+3h9D8aGZtvOM2hMloO+z+Nu31XqWfWNeNWMJQKa+r6z
EOBUxohGqD6Bi0iwfVi70tGuZJDvo6DdGBFOpyFOmi0a6pOhlkcvt2g5towjBpAbnnZdZdUd+o69
24dHQHwL3xuuUjVWZxE/+ij2V7wa73BzrqUHbNwM7C3RJGuz7cgstWqML86U2KZfGnRIGYxdJkqL
wU+Fetpg4nHUe7XvJgAwCDtHa646X2I2aVHZWDTWeD/eN7UOQRjhyVAvtH5EacgYAe/T42g7607B
bu6gOQrah7TE1CfVb2PlwRIKENJV7n2gchAH3qykyZUGenGO/DbWVnYm2ft6XQdyjRq4NOO94xHJ
igWzrxtAD8LZ+75/Mtp473oDbqzMO3YuWTmBkz63GMFnShlfKKqzLjLnokwxedpdv0oKVSwDKb4E
ojn0wrjTI+VCuOH1OH2Fui2fc9Hza/SWutbtQf/d9Wp7AsJ7oWKYw1dFBs7QPWlENwKt92hBF8jJ
ar6LUshV2njBurCTx1zXjwPQfTpEJWFp4TqCubGoTPGFvvKuAL+OG3RBzuclmYdirhk3lke+XDA+
Y8m6HmXtHVJZ5Fuo9ld5QipAqroEvRKFOcpHkZtrhOkzQydhNqxNY9mVvbaJ0GdqmvcaIXeaUe2p
+wGrl0DDvhICTpoa6GtIqMQEx34+13qa3aanbqqkua+64LpAtzo03o1bVhsCEZExdvaXFEQK13zj
DfFdXfjttjfOgN4XodrOtXDKV0x6zGLZqas9CHhjtbDNdqPEjMVGm+xImOqx2JSew60RJ6UoU+yM
wyVUpetowmGoYO0XdkmwZSuw8OvmsYp53y/jCuzGsumK4ItMgprN37T2WsoEKLHjduUXJqoBRlyB
3fLrRHDLLHNmllzSMOQb1E9ry0uds40zlDFMmy5HBTqFRoQ5kettP2ub5Bm+y9IwATzyhmHSZeti
kWsxiAyyzrN6A3oFd0SMjzNrnXYXxj1cE2X4lpYVE0vCkiJoH3M9LDHZECq7lHF8B8JWQ35qlrSj
7XQl/MpSZkloJvMy8Q4MTvJTWoj6PhQWMbqAMZVVY3fysurSkf7tyASziw07QPZhiGXejWBjhXJg
SLpr8+Cs2dHK6CHUaeOXpHCvvKJE5Y/fx4IDosU2ueWiuHc7GU5d0mUpIO7jlF03BlHQel0/tyHC
ich+MFz92HZM7PKALNx2VbuSJlF1Q7t+WNiW/8TO+kXVyw0j5pMq+1c31Pfk7kikKDR0AyRslaLf
k3W6JwL9CKdcR+6V4M6kU5zT5m54RZcDYx+zdE8hqt04yq7qKiJaMRm3uWceZB9sRDkCnM+3idPN
ZKZGC4gXhMCEOmzP5LrueWFkw7AAF3mTxsQ2Jkq0R0G5VQmgdZBhchRaa32xrV1nrUQ4Q6xiT6jX
nTlx81KxK3XetLq9iuz8BZUnYGPvsnc5KQxMHUbXXwJ4m8uifk1856CkGBZ46Pq+2TdO/EIqHS57
DBKZGlyVGnZ3LZiDRBtmekJCUa9eVxGm8DpVlPnAaGSwSLAnJNgF4+i4EOQbp1rVodgkjXZPITmP
Q9GvpML01lIGjhbFLEhhJw1xdB/rzRy7qgd+Rls64A1p18VbJQ+/oEtZ6/Z4VlvNp20tbgYSAvQw
v8sAzTJUg3aitMFXt8xamNFds6x9/aKT6oXr6Y+9WptLihbohNY6dIKtE6jOyvPcfRuNr/kgL+oc
cx/7e30wNR4WL+skMmnk2kDHxNIdTPuUiWyXGohjY9uE76pexgboJHBAhDDpq6pi3OxKX8xK/DQb
fzAfZMdM12GnoUPf43mzGax12V0vx8tcMR/ACbgkPxf3KsMSRD3NKqramHY6V227YuNMW0/B+K/N
YJZ40BXnMo+OxHcQnaaMJ0Ur97iYioXGaG5RlAmyxx410VCkC4P/GqJhIdri2gv6fI3kZ4sAFvtx
3RzGcnprS+O+F/zQQhU7cNkzJSsG40JEwUXURXMDoO3W8sfqkDN5mQW9fodqwdt1cGGcKn5gmm5s
pp+7qU99rpS3ORW8/mD7kEVy4xJRfHBw9BRDT771cvVGI79qzCQkk65BlZstVBzchacCJDHKmSeT
b6SMYwfVoRjo9g3G312AXDVC297GHSohrb4fRHHl9EUKuMm6CIV3kVghwBlj2Kd9+KWInQej16/o
bmd7qYfpsvHMbKXVxsOYOFtn8q6HaoCguOUfViCtZiKoFzmIrE0Yx0gv3hAI3hsOoRehRhlRQmNY
2t+ZCZFuKkvtO0vhXcV3/l4q/cbpCaVUswTveAQ0n72LWqCqvaalwSnMKazTYzX2sAevf73Ipzp+
spOyiCkME7zv1Mn5WKVFbl/qSlUFJ3XYKulRRTCnGDd1d/PrZT71I74vY5kEXNJNnpIlPy7jqqpD
FaBycNe+ddmtov9mwPOTf99iOAHpbercyM/3qnIGUGFmEp/SjgdtY7tP//jzW7Q7uEPcqEm39PHz
e9bkNpDEcMCNSuRZOt8xoX/be/w0//iv+/OpWDbMSOBF4f4YyVpJ5pFYldbCwDzyGoeLX1/KT5aa
Upmm9o2kz+l8+ipiG/E7JJDoRJgN07YahtSEjybFdq7kv+kSTR/7rx7Am/32w9dCt+F9D0AVQdJa
Zhyfcn2OmFxSd9WLyTDdrv75Rb3//j9dVGqFDkOq7wth8SCMqPdXvEemV3H+m2dt+tCfL8qZZm82
b0dd06aW5bs+sS7h1/HiTU+VvnJBo/dL6b78+nJ+9ji/W+Lz4zZWkrOSVNNTaj+F7oOh/H88ziDT
DctwaEcT9vXxEsIilrWhaOkJEJ2DGyEewvmvr+AnNwlhH0pruj+T91r7uAJx8pzvTZGdRuupsy6a
yb5UX/96jZ89yTzElmS+Ms2oPvVRHT/J08EegYRz8Bvmk31IXrYltooF1qB/vBb8SI1RkWVbDHM+
3THfxTLshDI9+VNNDZQZKdfSKjCIrLWrt6X+bXlqbA9/L0S9eG2fvvIc/1fDk7961/BE0jqp40lR
ZjDIE/Gu4Ylte8KAIjPFZsgO8KPh6fwhNRPoGV8fqcb8+V89T8ChqhS0Uybt/j8UoupvBvG/dgZa
nhZiPRqfbKr0XfkUHx96tyGoTbrBcAKooQ9WPSdQDUdT7dz2o9bN1AFUiaOlB2zPV/ZgPA95rMwt
/GqzjhCVGWmcKtQkZ0cq3f9j78x64ki6NPxXWnOfVu7LxYw0tRe7WWzwTaqAIvd9z18/T4CxwZQ9
X3+FNIzU1RetbiCrMioj4sQ573neU01m7eol8xZ5+3HcOF/GsbjSuvQBqcaikEzRjW7dxDlkb7sy
AQl241JWkyOUIWhSoM4hiSTWlQukSWwGpASjL6ZnjguNfRIb0YJkoBuDbDeuo9j64g3jLTp70nyR
s+qK5ioK6rPS0U8Cos4lpZKLJOqvsqz3Tty2Psg62uEHqTpUbA5NfYopZJ9xzyA2bWyn7Gbd2P6C
0MNFuIZHvS99bXIOCPTmUFg8YROCdOqzUFu4kblphX4BkzI6yBaFjQpWozMZrPA9PXunVaSYSPGL
4WKEvBG0IBCVvMIQocdoPtSCKb7OIBRTKZw7knGTjBHWr51r4UsrxwdWFjizolOqmYTFGAJ/Yewl
Mp0YLDiDjn7VGekcpzULtRonFOMLbVNFNPVoTCNMb7wa818jQ9XSm+RJr5SuA5qFOrbwZ5yNZJoy
Qorw5GIh3KGP82KYxxk5SFArR5z25zAfl3Lc4y/Ygh5FyodXnrfsZb2dWiNMZRe9l27lrRCCbvPQ
OI7lyplQ2v826vQ1IFTguOE2V3WafgtQwrl40eugUw29Wg9Nc9iXeDWbYbrKVEBefpQDG7DgrMr4
iUak1nxf/jro5kGSk+tMjGFTKEZxBb/z3Ev0cwX/sS7v1o3aL/swdGnxBLEvBe6Kujh090I7HJoI
izUJAdggDTSMJ/YXqUUZaRbSonNU9NQtzbK02Nlutx4dPHFwFzInupfOnBYjvLbIlwGE6YlsjWep
6i60BjURve80CTRfRvICsaE+ZBpj5oace2wS8W50hTDtxkvKs96ntaqvbVowx+uqTBMu769I5+Fi
Qz4r7euDpLF4msPxukV6yRl/Uw/BHFuEQ1oScfLKb8ygq2cu+B9hXEOusowvG7288tlmJ3kD/l+2
okO00fN8pEG4tm4Kh2Nw2ZjHZW6dj5gEARf9qiB9XcoDkt2m+WbY3rlKl6GlpKfIgU77HBY3zh4q
vbE07hZmejRG7YmqwT9K7yMaLxvOF/Oqc5dZ0AlXbJ0mS2M4C0xjZoOwnzgdFKvaqq7HBuADNKMN
3ocpngsRdK9KP1BiD9h2O1yaAqfVZzGYntK6TFPvEGnbzWj7x7HTf9ZUaanIEYydwrl3E3mVOIC1
TKtYk9XhAXSFGrKfu6G6NUI9Z0IplzzG11ZNjwiE3ZM6QFLnaFg+QPzCtuQsc0lAJZWiT2lrtDDP
BTwWmz7J+JrsjhH18dkQOedRxLrCwbhYu60vz5NB6Rap6dz2br2J4uLMBexGw6/hzkDb0RU8FFhE
hcZhblf62ajZS2nIfFwa2iK8yFPlzh00mkmiEVfO7EgbvVuFnEUTNwOekI40ryP1xK89DIlyv0JA
SkLJiepthgcg1m4+TPQoFyLjwpnktcMIoMhjLYrLqauXR6MCElZVcIxS1r5fn5fkvZBkamtz1E96
iLJZwl0GUTHLax/Y5ijpM8rQs9BPGvLB+lNM/s+WL3bo32/5p+Um9bY7tnz+6nnLxwhAF5QCmmJt
XQH8/3PLBxrDJgD8VzVtYkCTQPx5y9c+UcU0wQ7QsUIF8rVHAO19osWPyxqov/4eNEagFV6cBjhp
EuFyfYcTrIrMRwDLX54GCpPmr86S3WPM37EIHePImSrYex9KfSEfplZFp5gkD803PfQPAne4sT2Y
2jkUeq0FRy91RmetoB4k7bzQ5HAt5wUtT2EQelNgCNkXrxRUezpvINxTzcqRsQvufZeDwNdjN9hC
B3GhFAs6vkHTFMY+GV0QfbjwYScUGKhUqjONSx2L9DJEek6fvDNxIlqW3QZqeRTkWDiGRi+6WMoH
yfYgrUT0CRuBSx5eZRGxFbLHoolN0kJngeyfzN9AG5lfIqslcZ2P2SGVi+Nx7D4r2njkt44Qahxh
pQLS0V/3gCanhgmfnHStMc2qtpmple4f5bq5lHPpLGTOn+eufVgDj56aHmGIR2LmKMXCY6pKXTQf
TBohSzr1ZlbRnPZ1dSpFPep8KkiTgWQwa0Q39yFDOCxNtQScQBvKh0irL4JYvsAuIjFIGNXpmVTA
1dV0Or+LfOHlpn+dBezEQBZd0GUIUCEyapn/gHEnnj05WUs1s0lWNkQLWnIhmUa3yG12B6tAU16W
yZIWc2eV02ZEvyUA59EyZ6qS+qet17Gd5mGDfQ2pTtx6cU4lRYyzCewKuHkO2N9cBTAcSMdg2hY4
NmD32uT6VQW5hiWMhg7WtQV2VAE16WQKTBu8c27lNwYmkxBuJDKWk1T1qmk1UBV/MRX/lfQTE07o
oKDqE3CTMHj9YIey38mRU4UnquznCy3u1I0/ME7dEHG8/ufI89h7Z3AM+f36d9Pc7jjwiL95Xv3o
SmZhETo7mttYBl8feEyygkL+wSJnCme059UP5IvmcDAGtcKvIAD6eeCxEX9Qq0HmodIVwVHp77Te
0a73y+rHe2iWYpJJAPKLIPmXvEtclzQFZb18WofZteukxtKMNOkQa19AKyR5cWKkDatJdeekj9wK
qBbdeTXRTJlhCNalPWl+QvGjUkj1dTui4NuZy7ajN8Du8+OSemnecnqp7TulxccKcxRsIxtRQ+/W
jmsvKOFjygSulcgmRn4EjsSCfdWl5UoP/PSy8DyKB3l+Z2LElTX5VanQE6EnWkB5r7iLaYSjngnX
uui6VZ/3GJmNIgwh+0Nbg66fSZp56JqdM68fo5ZOcmeSiGRiQpqB0IYjwp2b2PAfh5TWZRH/2OQ+
JkUmnWN2FiMrIEpKRLwUa+ju3cGyZm5g6lPS9WD13eHM73HpLQm5KkIveLIntojFcj+6DlTtss6c
fCYRruWRQdw2elclFbsAD8vGJFubjMoKweK9LGI+OttWEUFgKofHHApvEoJDmFSXSphbBDHEjaUq
X7L5wC/gS6h9LCpiEWWqtbEZRNxZEYDaIhIFXaNMCkQsnS6f2SJa9cHeBw4qCinp7O5gGGBR0lb4
IJf5gWymJ/YYHLY4Xq+1sDpvTLqqekNGbFAmiCdM+gzMGPe7PMbWJeopFkpNwRemYmXssElFKzsr
qU8Lm3FHzYclihDiXRMqcFo4xx6u5GrREiYLr22piWi+CAzYDpiYF4P6EBNLm5Py0eI8FCdMNqdp
mgphTAR5tjaSaJHG2Ch4UXbqJximyzind8JC3cSOZOIN2UMi7NUrCjpNqZ7kWZ4Cu2XFpQ0Rvo+w
ZVcMaRliQgWvtvlm4txOsbeZlrQ7oaVJZ6NKTwH7Bn2ZqWiNrMYvFq2JBNW3cH+WDSKpAz2VPivC
LZ70UYN7fFP0Nk5XJmYgdUn4icd8biYHPS1oOt7zgxKd6lrTg2Z2kMzgTy/jU28kWA3WdJNNfTzs
y9oz+NjqkZurFRThhuNHITyyZPk8GeoDmSp1EYXnQeDNzSa+6eTyFlPYjFonx+KhomG0jJpZaXak
zuT02LAZXEOXDmgw15emTGmpcQbMBD3rSC6UO1ul5aqqh6+5Rndfq+SLnCYsXMzHYjb07TpyR3na
pjJOfd2tz1hTDcLuPjWp6WVqfq2l+bGDK4FpI0zytWpiq+5dLUPQLUGxSnFXTDmnZ2iQON0O9NoN
ThxN08G4rzvjuKOdljJ3eFS4pYrIIMGNVBXW8dU3OywOYWNeKdH4RZEqCuaoWEadPbdzjrHww2VQ
bWbe2HZAYKJju8DcrRnlc04734bayU89WGrToJf6AykapHWWdOUs5RzfRsWF3khbP4/ObTM1pjlW
bnRgam61di2uMpY+yDdLn5duQRpDk+J1kkBUkaFS2bQ7TAv8AyZSRncPUjFCFsr0NNpZp2FGAw6k
0RgDbZpWew+LdWJhsgIycDzle1b2n3OGyJD/fp89i5tkU709Z4i/+rHTyp8wGiVbzXYGAkSg3V+k
FnXElAAqaRhRSSD+2Gl1+ZPOjxRSfXStPJ1OnuWUZB0dhLEOJHqx0aK0/BtwSoSbv+60qDJVDjqk
KmlhRFL5OhzTfS+FUz4opwbcm2gVtKAhCruIjkM3nupj9dn2x6/EsMK5I152nvNVCvwKfywYPJm3
dAA5c57tWS1yjilZ+RkDiyVWZoeNi6gg6ddaX83GZmWE0k3meQeut6DF9lQJHe84Cyp7ii2LM7MU
ipBRhQTNHMZ7smjUjhtSPnQB38AMiec2vjMLvatvxixZdaQ/ZprRnpF/0eZFKgX8XD4cW/g7GK4d
64Sd4E3iL6mE6WNSytsgrx66Ub23JbQXWRP501LtLxK7x7Kl12+6QfpajjqxNmtNaJuQw0eMXMxh
OMTK/ZyzmOjnTYAbQoYmtuUX3eqBaJkle6zuylaZ0dIHtFwNgonr6sDT/bKgAq3dydE12Ri/MgF3
y9PA6MqVKTp2XKsuZ+RUBx2LUToeOYRpGvVhbehQ8Gi1s1ECHQhG0JcU+NPWB18EpQIFfkFqEF8X
xIj5nCMa+d9HroVqxwuySMDy1bbEIzkoW5BwsDCQKkLFGOPycytIGU1Og0gu6Blq5XLiEkQNX7A1
EkHZSArzOhPcDfbqbq4LFkeWVdG8FnwOeMnJ3BXMDlPQO3g28UURRI8QtIcvGB+OoH244LmOWWnC
Wec0FY7UrbXsBR+Euj1NPYWghkg+vGslah5UQRQp/KKZFoIygi3PbVvz9cGKKLBrJX2twIycBIJP
ggvX1hHEkoaoao4ej1wfOJNYhmuSGWF8Zmse5i2P1BOJXJ2jpPpSF0yUqK2MJVzAbSJ4KeDV/Ekh
GCqWoKkwchjpCsKKnaGuUweoK65M/0QlSCwpoQCZXIFnUQSpJRHMlnygwSurSDZWAguD/2552AnK
i9fBe3F8Yb0kGAk5ZLw5X54+cSvjIaBwRn+9T7Ouri0FaRDAjCDKhE6O0Ytt67cyxtLkZRPavAWD
hkwl1NVcb+euJxA1oaDVhGkDt0YQbEoW9VU3Rmk99+njlWGbQruBRFiGDzHIvpWtKOrnTCnQbdhW
dVizhaKlJGNeyv1lLCkectYY3r/mREh/iy+D5HhTeXTBObB7zCu/nxptdSN5xdc4S0cYPA7nYSzH
5m2SZag54P5YQ/hFSbOzsKiCbwNx1ET1PR9Vm81WlqP9GJvPMKntiWHGwiiWlKHTmFgntN9IMSw6
z/anvSM9dGEtoHbBjSaFB0iGr3uwQkv4W+Y0TkqxiDjHDMW6iZyHjHkqibNqndiXsm2cFYp/kIOe
n6RldmLJ+p1qOl/bWMJVsOzP6rG013ZZrrKxuqhG56rAWnEu1wnEl6acg0PAp5cCy1LDAWYapmj6
bLpPO07Ape2fezIBtuWBUW1irTg05HFDUlvQj9QVzjIHkeWe2lp3LPV4tg3AhpkpQTlJedgovsR0
UCP3vA1tUu1mVIcrT2uRZOmNhuTG0Q8IFMHomlkFNC+5dSqDNUtuUsKb4izrpAsKBAKBFgUHHno+
UrRePo/wReQjkQcfJLrS8541yc0673OC1IC0ORrHR5DPKLsuKUvetM4Nfx66gbOUicHPY6/MZ7aK
JpIVplliKgAkwuidZa4rw3wMfRjkyKFYYaxh2TdDOHfxg0IrluhzZwxh2pXGA+ka0Oj6uEb8eEoK
/DDRwiOadpK51snqUusA22lAzBegcYOFD+xqybGA/ns5y1Yq5m6zkLpC4McjyqxAXapaz1KP48/K
T5i1agcNJU5hqZDIimkWZ5WSC+pGXcqdGmVrrLBpwOM4VMwlZmK+MNZFL+3hVgALGTsgq2v+SSk8
GfrolNp/H+pcBMgEh6x5G+yIv/sR7CjELRzXwfIj5Tasl8GOBhUWLgytlyKvKZA939MKuipyEapB
0yT7MvIB4qDvwQ5xkINBu4P7ji47j3HQ3wh2lMdq+qtCqs62QfuKaGohtwvY+1VSVXEbeKIc5s76
UrYWaat3rFA6Z0m9W/lWyaljoBTVyJ18yk3Ih3KcKPiLI5BEdi9n1wGN7cckVfpJpWkF3ZamvjL6
pjrpIje/zzGAXloxgb0fW2iTPVK409yR6JdIFKk/q8qkPi3CUL+RZLNeKC7tT1OmA3LT1E1PIi93
CFD886GPjVNPwTpF9fxuOdpmclXbg3EDLKW86FSjOa4r31pHjUCwWY2E07YxZF+0RqYdQ6vUbQbu
6xq2bbryjMqZQaSpNi0NipAjbEpYpdMtrRAnWGx08s8d2rW4oTfBC7x81mJH157Ssq+3dwiyff1Q
QaM09AtMSpolliucV3TPCX06xGNO2oVbpSW+h3nKcqT0PlwZB0vnrqGBa6y1EYC3zZ7NIZNTUK+z
y6B0TIG84AU5M1D5BYemlNIQETTxcIvevkiY987CKdz+xuxibTNI2E9iDGSmC883jYOhMYeLusvG
jWYYxIgpijb2XWZ/4LG5u3nr3ZLvD6ZyOo4bt/LHLVLh61IqFqkXHEjCPzBRzHbaGWW+kvLOU8A7
NMMygn596Cn1cBRlfT4zaod8AiwKzG2CzgsWVVJrOG63lMZBtXzVrSBex45ypUWYvuQS8FRf7tqJ
YZc1MV5lXth+nqxriTp9LhfmSe8UMoi3jLQAeRF6qtFublFhOreSBc1Ai2vQHX1yGtqKNCvrFnt7
Sar6eRcXRT2j4SF/sKSM8mzupsSkNopoeTS/eRSdZqNjhVe9G4VHVqiTpIHrfqOAO552I3L0KgLl
OTa9dMjD6yGFxR449Er3GpVLd5WGJarvrA8uJNSbZ35LMStFvhPPUl1vK4jFZMJbgtZ6XvVGNfPQ
4lvCidDE+lbdOmYLZFY7sPpO+4wKGxGpnJnKlkzHuCgC6EAOnTyTGnD9P2vx01oseoR/vxbfZPEO
RwTxNy/WYYM1lcIWWVkytqiKfhw6VbysYafRjYr0U5SpntdhjRyuKrouEa5oitBT/liH+RFNd7KJ
Sxlr8ePC/jfWYdUW6dtX6zBABuTgGnuBReDp/LIO1yVrTqyG/SlLpjTJ7XpmueVlrRKPhSoNLSPx
5CUV5PhUrZPkomrcciXJSrNqwFNQBgMQ4mQEqYWunWiWLlONSvrpYIVbDTegaY2A7NAv2lun6fLL
bCApFBVxf+YAPJqSybGmTuNmcIvbY4AvFmpyZ9YGfnaaeMKMtEu9c2xHcS8EPgd1noClUpQrMqLx
KkY0TrhOZG/AoRnsS48ActHrOFaZNAucxkGfTCkpfmOJ71aOaOYY1eCq0Lvs2CeVu6hH0NnAhPFe
YAhOAwXzbRTjDr1tGat+pzJTEoczbo7HNJxuakDpCG/Js66zCni1DmELjk1y1BSsWI500xmKAvcN
K26OQFPDJ2na6PPI8uS56rUHUSlhnmR/YTSPM0DiyOUyonuz4cQZ+d+MVqcDDitJ8ulfPRrF8KmO
wfF4wGW94KLWySNpsYQzcKpYlNC8VTTigiOZyVbzgKD1qXlglujh6zHFa9QIw0UtGZzxXcQIqTGC
SkZK7pj5RSa5JzpLPOncFV2T+Hzn2r07VGdSBQA7sukiwVuTXsXOPtFGBOKjO54YGV9pjc9sMXRn
UaLdqlr5deyiO8nNySr6xN5xf4osBw5lrtTwyllupE5dG0AgpnFD7oGUxakheu7VRF+ZtBRmfWLT
KqqRwFD8m9wbP+u6fhgWHP0kGqlACEdoc1zR20cexD7VANJpt5REjGFt0U0xt3zvUMIBjv4SpeQE
ZZTVhNh2K2G2EDS2TgFtWJiPIhykfcdyGx+0IecBy+DAoibKEQfnkB0QOrgrK/7MM2wskQ3IeYWC
5EUa1fPSMOBr2WU61b3orlBzfTL4wTAPkoGeAKqlpOXxtKK3E4/eyl1LQ1VMPQOmWMcEn8o8qZqX
n8dp2vNk6+vehvqU4993mfpuBTdYXylZ2k9KmkInpK2Smep201GXQfAN7nYYONhIoJgiw7gsa/eb
mqb11Iq0KfWaE9B58RobLbqBugZlWWyuYXjpp1Y9ICBh98NyOsCFDqVTG5FwdWvjiAaSHBLd4Exl
yTgoiTcOlCE7RHKkrIss4FuqqSZr15Xinkqdt2Db6sn3BMu6KMH9OEm5rIYIPdbgz+wivvVjg261
nKnONMlzqxcou29INg7A3ufrSAJ0HgeKcupT0Z65DWEVKjCPngqwZGBnTtoCUDZ167nKkZVDRstz
3mIg6Ob9Z1ze4SgUeXRQDCNVWhRtK7mo0eZDqVgOnuvMZIlCSV6kh54vQyTzGu2gMr0RYzZFWupZ
gclikX82Mf5djNFwIMnedS4l2pkaBrDccIFeSxSopuiqDiSEdV7vuXMzzG8KkGkPVZrMHJ9p/NkK
w+0IGRGuraPV5f+b/fN7Znm2qTcQ1Ggw/Nxsy+F8WzWQsZ+3FvHTR7uqy+zf+6U/X+i7IvQSktp/
/sfmHvbLLKjqMrir2Y7eqEWpdb7akR8/2OOn/uN14g1319zzDuyhnD043kB8f3yxKZMz8b7/WEIw
/YkNmZ1XpXlCvB7f8cVI/W4s/nybT4P659/5/S28HAkDOcq/MQrc5s9BsD4RYpDQ4Cj4+OKs92oQ
FGrM9EZanAI/ziDseB6UXwsDf/t54Gwrau/A84iOXo2Bqn8CwqXJNofVx9dHeBDejIHoLfk3ngau
8+pxsGkYIUAUqAlehJyvh0L9pNLpgcT6Q44BQTYP8N7rAsUhqFQ2ErDXN88TQnHG0TA/Fq+nt/o/
XhDePAcGEI69x8D4ROuD6OEyH+9U3OqroWBZkDnJoFThCWG8P94gyL8e2f72gsAGIe6R9Bh+teJF
iuzVIMDKppRvG9QFP+ggiM6FPWeD9cmh8wYiIOVo8dqxS6ooIll9mHy8Puyk2H9hUPEuVOkfJSR4
fP06FIrxSeDEwKY9zZoPOxT7Tw2mP8MAQwipmHiJXeRV7KSiP8OJjGacDzo1lP2nBjx8g/4kWtN2
rw/olpEKC6WB9ThIH/V5EDmnvVcJslGoKVCRPr7eLJUIKHAOYCT0Dz0UAtW351DYnwzkx+wLyEzE
600IRU3GEf+wv4rXR30qhAJ+z6EgbqaoLshgj3f6Zu9A8w9dErTkhzha7YiktP1XSjYNytwGG8cv
SyQ3D5D2qWvh8UH5oAulvv+pwiFOEi21VA4fX78OBSdtMHQcvUSTOs/cx4smtacP9tTn/yMP8rfS
DRbHSxl5N+y9p9cvzwPRJDGWgA582Nmw/5NAkw8aOssRnTTi9WZx5HxJgy7L40ddFoUgb+9lkS8a
JT9Jl6fXL0+CyLnA8qRvCZ8V8fqgk+L7d7TfpBDxEVHk7+IG5RMTRoEn8rQSf7yVQVTl9nwe7E/A
iOlLVJ/CxDfbJCsDewjNFyIj8SGXR/3pALzfk4DcxNIMgFKPrzcnCtEhI8JpIWL5kINg7B87mngT
ynRhfU8w7Uq7wOdnQogK8r86CP/CnPmR4p/6QXz/mNwPttWuGsDvfuE5n/325y9S948J61e/KZL9
T2/+lOAX//1fr3P/j9HAi58+RweP7/T977/f4ts3f/Vmz/f1/D9XwbbclHd0YDyWPL5/0JNNQnXg
v2P+9RZT8ZRk/flp3hYqfqwFf756HqTbl7n8J52B6Lva/+LJ5j4rny+0vv/P//h+cbbUvS8+aep6
1wf/ETzvLt/8S6My3UDR4Supnj/ni8/O8773Z59myJk3zxd6cXGW1Xe4OM5Dm7/oaq13vQXb195v
MdvGf51k5c7xJz7d+/rz+K9ZVvLwPF/rxRCxy+19/UW5rXb5D8qs6HtffBlv0x2usDLB097XXsHB
hGRcP1/q57iIstPel8ffc1sGm/j5Ui8u/x5Tdp0OO75RQcfZ+5MfbssdYy7qD/tfGkuWHQuB8h5z
9WgT7VjDlPeYo390J37cZvZYII+y6q//hqQQb3eNzHtM0ePNPQvw89f34kF8jyl6vCmDXY/Le0xR
ce0827W6q+8xRf8399R9v9njbXm3vX877iI1u/dUOs5wfn2+zs/vVH2PaXqc7VrR1feYpVz6T94I
+w75ySbf8aCL4v/eA/5HxNm+n/uPMJV9L34Wb+62O2JHAT/ce1j+2J657yc/Dwgdq+B+x8IuGjn3
/vAXmzucQLnMjr1UVA3e4Q3SvybbNNj5Bu8xVS824g3KdFPe77SBFgn/d7mLWbD1do3Se+yv4iYW
4ITugupu13u8x/QV73GQbQqcAp9H5OeqKUrq7zJKR01Q/XV6G1T5rvt4j/1W3MfxBhbW8yd+cRfv
MZ+5fr35a7Ipbze7YgaRKX2PkeI9pvHud3ifiS3uAnrD+Pxxfw6T/i4T29/sPBPq7zKpyWHsHPx3
mcx/bjLbd8m+yOLNruhBf5dJTGCS7NjgRb52/6ey3iDjjjdN9XyxF8/Mu0xdkWbZsQ+LYtzen/5y
6292DY2wS93/4sT46Iefr/RzXIz3mKyXDSvBji1e5F73/+gNCaJkV15OpFv3vvwXrtDsmqvGe8zV
PzQh7TtP/4Cv+vOld6Vlf1R33yZrn5XRu/7sdS5a/MZdvN2U//U/AAAA//8=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Gill Sans MT" panose="020B0502020104020203"/>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F558-479F-B47F-07C2E7BE88F2}">
          <cx:tx>
            <cx:txData>
              <cx:f>_xlchart.v5.2</cx:f>
              <cx:v>Sum of Amount</cx:v>
            </cx:txData>
          </cx:tx>
          <cx:dataId val="0"/>
          <cx:layoutPr>
            <cx:geography cultureLanguage="en-US" cultureRegion="IN" attribution="Powered by Bing">
              <cx:geoCache provider="{E9337A44-BEBE-4D9F-B70C-5C5E7DAFC167}">
                <cx:binary>3HzZctw4Eu2vOPx8qSY2ApiYnogBySqVZG2WvL4wypLMFQRJgOvX3yx5aZUsu+Ub7Yg71nRPh8QC
mMQBMk+eTNa/r6d/XVe32+7ZpKva/ut6+vN55lzzrz/+sNfZrd7aA51fd8aaj+7g2ug/zMeP+fXt
Hzfddszr9A/sI/rHdbbt3O30/D//htnSW/PCXG9dbuqL/rabX97avnL2B9cevfRse6PzOsqt6/Jr
h/58Hm6r/KPp6nz7fP8a/vP5pamN3j4LTV+7+fmz29rlbr6am9s/n+9Ng58/++Ph3b6x7FkFxrv+
BgYTcUCJDCTH3L/7Ic+fVaZOP1/2EMYHHLGAUkG/3PZ0q2Hk0y26s2d7c9PdWgsPdvffb8bvPQWs
xX//dg2ud2uxW/0UgPjz+as6d7c3zy7d1t3a589ya+4Wq5tDs3vQV5d3K/PHPn7/+feDP8BaPfjL
PYgfLuzfXdpH8W8Q/m8Fy3rzKyDmB8KnAouAyLsf/i3EmGPKA9g8nzbWJ4R/wqLHIX44wRMwfjjk
dwNZb29M90uOMQEAfbw7pfvn1z/gHGNJfHl3vtEDjJ9s0Hcg3h//FIT3R/xmAL8w9tl/6/S2urW/
AGV64DOMiaDs00kWD8BG4gBTAjsBffLmD8D+SeMeR/yxSZ4A+2PDfjPsQwPxaOfArfsVblwc+EhI
SQh/HHyI1IhQwTiCbXHfj/+sXY/j/ugsTwD+0XG/GfKHvf5gqhv3zx95Cu5bBIhSHDw465geoAAR
HwL7p/2wD/rPmPQ44N/M8ASwvxnzmwH9Ylve/vMgE3ngUwI+G6L03Q8Qsf0gjg8kYigQHHbB/aP9
VHseR3hv9BPQ3fv8b4bsRje3Xb6tfgG6kEFJLBgg/AndhykWYgcsYIwhIHC7nwdR+2csexznb2Z4
AtbfjPnN8D6+7epfgDU7IJxQn9FPUO6w3DvJCI46RHFEMGRh90/yU+15HOG90U9Ad+/zvxmyJ7fd
NQgB4T8ulfAD4gcyEMHngPuQfWP/gAokgXzTx87x0+16HOMH45+A8oMRvxnO59X2+vbX5NJCcomo
+JQx+w/9NUYHPt95c/yJeMn9k/x0ux7H+cH4J+D8YMRvhvPl9roDaax25hecaXHAeCAhbfI/YfmN
NoYOqNz9D5z6I7H552x7HO9H5ngC5o+M+u1wr58piNLb7iavfwX2kED5giBBPrPuh+cc8QMsqQ++
YP+AX25/1rDvAf/oPE8C/9GRv+EGiPLb9Fdgf1fV4Ax4+UOCxiGtJgJ2xWeN7Vvsn2zT92Hfn+KJ
iO8P+g3BXnXb+jq31+bLmv8TBS4OAorvcyE+szY4zHuMHGQzCjU+Jsgjx/yrRU8JPd+H+9tpngj5
twN/Q9iPzLbt81+RjfEDyTijGAC++3no4YHJYYkplZI9Ht3rZz9h3PfxfzjJE9F/OOw3xP4EqrW/
wr9zSMUo5/KLF/+G1+EDjAUCZvdAbdkF9ycb9X3E96d4It77g34/tKEsorbdh+1dkaT/hxsZ6M6N
iwASt69Z2Z6fB+UlkIJQRILH9HLA/efM+y72j0zzNPwfGfhb7oGw+jU7APQZKH2Chv49fQYdAAtA
lFH2hWB8bmW5w/7JZv0I+f1Jnoz7/rDfDXW3rXNbbftfURLnBwH1OWHB90onINb4u6I4f1AVhUah
n7DqO5h/O8dTIP921O+GeO/cL5HmJJS4McYIf3byD7M3IHQBZlAulQ8KZZdPtug7SO+PfwrK+yN+
M4SvenDiv6IUGoAT9xHw9c/i6yMFFCx3bpwBmb9fQHm6RY8j/GD8ExB+MOJ/AOEfm7j3yLtuxf9+
WeFH8vCf7TMFLQ2KYgGws0+p2CO4Bgi6UBH9fLS/3PtTiL7fG/sJ9cdsehzZ+2P3nvHTI/54UX5N
H+n3e0y/NutGW7eN79p877WZ/vjq3eNDd/KDoZ+PySML9rXhc3Pz53OoThPmE2gg/NpBvJto75Dt
S59fINoffbu17s/nHkKgrxKoolApGGHQQ/z82Xj7+dKuJRUaUiFyU+7zXYWlNp3LoB+ZwRUJLU6M
84AEHIEoY01/d4kcCO4LwTkEe2h2hAm/PPC5qebU1F9X5/Pvz+pen5u8dhaeDsOOaz59bmcv83fN
M8AbOEOY+RicDly/3r6Enu/dx/+PnJjXQKE2O/VKgSM2aBeLZSabYJjb90NHZq1c67pOBbPHeZiW
C9MqGVtbvJqLsojlEgz+ad1hGtVtk06+Crg/XEyjMPO2h33eZVE6tUuP1VQNBW5US4QgU0SCJWlV
yVG7bMAPdqldu8arskvh3Kg65pJC1R73A7WkS3GlTTW8oi4tcFiV/nyZIaFzhYsiWzVNFS/GVfZw
zvJGVaznr2s0eL2aCze8brQUkyKsWeaQ1guqQs+2dViSRpyTcmjeEd0W7zzWsEMqkUsVGqrkjPso
FaoSRX6y2Fb0oU4WnYYiD5JQGrypU1+HmhT9ie9xfcqDenipcZDFXV9iGua8Hg57L2FhX7XiPa71
tITSSbOooeuDSXGRMx4WqOIvPSTMEi5O54dVx5drjT0SZSmdbR3Ofss6vOolK5pEUdKXZiMG4tas
A0BslE/e8M7lHUJxOSRDTAvUZ3VcyCxZgnjBwzI0ah7JsshDmQr42Nx06Zr7brmw3VC8J7K2F5Jb
viqqAElVWZpd6bE5lcQ247nxYDXPay8d/Di1vtFhmpi+3WQY9cmZyHHxrqwsvppkX/WpCvqyUGPt
59WhT2rHlSeapNi0qCumI81zOt4Go0hvJZF83TuSrKo8M63KJc6U9eystNfxqBS5fZsR1HRnrefJ
MFicut/YvncSrk0zd3mafX434euv/7kyGv6563T/64+7Vxv++m19a3ae1z780M5zff3UX93yO0/x
tXX+gf/59H7El7P6Mxe/77nuux4GSv2PnNZ9//8pdtw5gLtRe84K+mr9AGPGBIMJvzgraLSDhg7f
B28lIH7tBKPPzopiaOaA9jxor4eghZEAOvrFWeEDRqBRF7RnONMcOj5+ylk99FVMBuDAoPWAg88C
PRMS2Pu+yi3ENG3fT6f1SGQ8jEnWKEMKXoYlH4eLwGPzUTENdRn7funeOUOHVyW1U6usrNs391bv
MdcJ4tme5wRroCyGOYdGB3ixIHjgOWk9N6XM+uEUtzU6BcdYJ6rnJsjCaXBGqmGk/Ts+NF6uOi1c
G7ZFV6YqWSynIdTe6xvpnH8Gc2R9hKsKvVqYJ9B6Dlhyi2YPTasfW4whiH1jccChcQNDYIGWSX9/
/WjOM8B2dqdkYmkaBdNSvRogcJGV47NhapgnVEQ5T4RaeDDnai59stZDN6OoG4y7ySZrUZh7DYss
vBg0KKczf1C8Y2Uap6bIzsteHmkrMxtBb7Z8bbP2uKxGNsW59YKTvMsGvf7xU30LA3Qh+NBbBm9u
QM3q7qHvBTA+e+noNZU9rV0iXxvwcVjREsPWaOp+Oh+nTl42Care/vi2u712P25Cfwu0GHMiIWbu
/m9n1r3bMn9KaWPT+rQWCzpFZdaf1rYLc5Fkr398Jzg+39xJ+hhIArTASi4e7LOmpvPSdpk5FY1P
t+1oumqdODFjVTZZ7Ld9tYTEn4UJC8JG/XebZrcp9h8UNgpmIB4AcUVQE9x/UM5JnqW1zk95W7Kt
Lnq2LaudDWzRNg46Y9TsA/TrsWpHrNrS8FtXSbsZ5UxfTAHp/JCMhSnDgtf6FekaDNFNzPNt4w1N
5HuL5iGThnaHDDhB/8nRf3qB6fyToXsM51ugoF8U3AYInvB2D6fg0+4D5Qc9qxlLvBMIWHqbd85C
hPdKV1NF5rlOj8YsLz+kQjYvpqXNVoGhUx5iNPCPji+LCecs5SE1xXCbd4TfDKzJ+NGPIabsG5AJ
JbCJdqIsyPGMAxe8b2XQidzvMkdOCto2iRSRk9myntxE5MoNfR92U+tfDHpmvcqyjIcdqtcWd826
og0Oy6rVL5uKaSAW1Zi+GQttNrN1TjWsbV4FthRR0tZJ2JuiyFXuSDGqpLD16dh4FoLsQuI0RbJQ
3pLUOsRDpg9Z4KqXuEjP07kmk6p63p66pL1yWANBCQYMC5nPGHwD7ZdF+aMoXlQZE+8Sv6dHWSDQ
iyWdBhmOfkZ1CFjmG090wCjHWSwRGpkXLcV03djWXfZAozI1asdXiW37DU0wvmozNJbrhHsoV0tW
Jh9A9uwGldet977XXEdNY/GmNHWzQa2sbvKhCeDcE11e5jKZuBpamh51SdeHM6zDGlEsz9pRTzEd
u3aF0ISGuIJ3CdJwGFPRhgPOklhb0kV9I8+yxEv9CCHjDiHU4DGs/SJQwvHq7aT97Bh3srlkxLF1
LwsPr2ygl60ITBdbfyqW1VCKdOVNk7/Ftho/2rRpWLhg5/eqTvGQriZXGDgc4xjP6dCLVWeSLKoc
0Yc1fFRBAOoMLLQeuCpsUXghT0auuGHToqirkpA4r9brLijjlPazfzFCKgLvWnZ+pQrYSW5F3Cjt
eiJ8ehGUy1IlF/3YOq3VnFdz3d1kSYbx8s6O3sR1pmQHrtxc41kXjnSqd33f+KeudLqcjmTeLutB
9i7Z6C4Hpl3gylz63CObYiakD3vAIFFz68sJ4NJCRHWSQDx0VTm2cVCOqR92lUPJWdb6ATeH5czH
LJqnSroXgXUEdtSYGGTHsIdYuAq8rEjOBjg6QRq2ohGw4Uhp9aqu8g6oagvBK4mnIQ9CL4Gcm6k5
8WsKr6YkWoeZ7MdkNVa80rFNgBWsWJ3qJRQLA49Z45ICqc86r1KDnVN7bnNP69ikufjo9QPP/cg3
2K1zKnpxyrwkTY5qwh1nRVhPtl3mQ+uDd8viJs24jhM7LO1KdrbOV3MV6PnQt1Y3IcNzlYd8YnO1
7vI290KAFb/xGr2giJCg1BH863tnVeF7Fpa8rt8UWku9IZ10VVxmLni5AFcmq8IzGB1nY2Z5rXiG
M7dOuqGpLyEYk6MiXXC56huwIIZsKF1igaZFhqKYm/FEixm2tgdHpYsShPqjjjBWRWlC0j6CZAXg
zLkFflIvBVluqxLel40EGKAjyAGzdoP8nB6mOS+DEJdlS6Lc5Em09EnJlDd2jTwvkrGgIcnbYlG6
KRbv2E8qukJNkjIwV/ImRnO2mE2WozGNS0mzUe0+p5DMZQ3bJyVtOI25tyg35d77rp7N7KkczhE+
RUudL7kSA/XI1VyNuD8NGjmbqJatO2F9DSEptbyEAVITWK0kz1D9DvK9OjtqZ11NKzuyJT+GFM9d
0QKzLZsSnSiBYPOu+nriJLbBkoPxPSp0VJG2tKEYkzhHefuuGkdgFkVaDJeWBeOHpsvI4cDHNIlF
Cam1qkUC87DKFNOq7gZ0ukwNoRfWMXSFnAefGAPPitChmU/xgHWRH3YTxuOm5qnFZ7nH5evab3eb
syhau+aVzez5NFMnQr8dAZtsrMEwY8HpHkMEk6+J8GF3a/CSXQRNuZPZOCsTfF5AFlq+xKKWdDPR
YuxP3OR25DObp3NWesEUm1HDrY1ZlkFNWLtl7Zd89/A700fwT2BXo9EpZTU8Rd8yWKqsNCWkseUA
R6ep0jK/qDsOR77rgRWkcA18KnZ1dtYiOne1Ik3mA9xjN/Un2ssaq3K/b6fVtFND4nlo8c5pwGEK
4YnAgUyQfwNPdrV+nWAij8SQ50KJjJWwL+Y02I41ATOmrphfEjf59jgFmlscm6Yui0sB0WJtax+d
tjJt31EfB63KaJbjIyNS2R8nmUmHaO54OwLBncm6wbCsoc/b+bqsSnY+9ZDiHrb+PJRvxkCn9lAn
nv44L3LnQ/K2yiLIAwSJczxndtUEWr7x/ESvIGFOW8UpuLm5G7OXuXH2WOqyYBHDHU7B7TEK4SjD
8nVXeEMaV7iGY7J4CZEbWhvU3mpwyPORQLCl4nHnseOCebCiE+TwMQSZsT1GXY+DMJGVGyDSksEH
6t0W7zs5yCtvBpp+tEjXoRtn69kqjRAfNvmIYapJo2wJ6ZgG6aYBWMbQK2WwWswwuJNp5tVlMdhW
CW4PqZ4GdriMAYBT+sgu66YqjTmpg4m+8JxPTZy1tR6O03lsslAwq7MrYCL2xpc1uBFwnXZQZWZH
q+Q4iBaiwNxeVmmL8rfILEQMagEGNr9qHPEkTGaTLs64V6ZHXtKMH7LU94aw4jYoN7n00cVkvWRZ
d31r8zhfetikOXYFOZ/KamGnOmiqSrXN4AcnFGV0CmdgNzYeswZQG0Wdp6pbOKhFwtoqRhOZumio
sOjWi2hh95d0Snk0J7Nvw6SxQftmZDO6KrIO9hpEOvka9rq257WsEThY3MhiJXQWjGrq32HRjwKp
shz4K4brdoxGljp6QpNKDC/bxMoOgjvs6LjJCaAJicM8vciJK80L3jUZOceTXwWbZDISnmuavPSk
7LxmjLRNwGcAG+vdSVUlYH8ny3RlM1Fm0Tj5/mZuKZz7OQh4rmiS8ZM7VvpZdf3MnT+phfe1jPvS
xlM0kpMv3xvxUCTZm+j/cyXlEQ14lyn8QAO+K2zdF2A+Kce7UV/kFKjDUVBKMPmk/GJITb7KKehA
7l6TCChCUMzbZVVftF95QCBdkfBFBaCXBD4CxfiLnCIO4LWa3Ts1IAkTkEHwz8gpWDxM7UBdplBG
hNwO+wwUgQd6yoBr7FpPzmcskHble1UdW+rbUpVEJO2x8IuJqXZgnheypG5OxrG/9DVbM1EOynaQ
q+WZz15MNSgsIO3Wqrf0CDQTP6xmYlcYOXkamNEcTkPbXGDaNSqgzjvWc8rWtjBv5YKK0GP+dd1S
X4GHutC5KUFeNlXkNUOlSMrPFlENYW3A2aUNSD25GReFREpUn6d1WGt8URKv2gx67COdsBjyKHbo
8WlSjCR2g8q+FkClaxbmTfmSInE7lu2lGfIXjR67qPMDb1NM3nSUyqoCGVY2Z34fvIcC7EvZwiwJ
Kk+gc36MKO4jO9VVlIzyxKewNARXakqHC79cXuu+eSWL9jjP7HvfI+ui0WDsMuKwhryIsnlS/chO
lkbcQDgpw3mGoCbwcDxzY8KkGtvQ651WWTCtJE6uy4xYxYRZJcbG3GtPaty8LXINYYY0SZhnuovB
T31YcuBGeQe/iOYlpOpV6BekFeeWCG9ee309qyaD+yX+OIQt5BMCdXHXmDWEhZUvxzX23XGP5Ap1
y+0iRB4zPhzXE+tC3nGhrJ0zVfe2CakudNiJsQElWRo1Yvqm6auT3iNp1NImHiYMutB8m/Agxrhx
IU7SLaTYH3uemoiXrI4cXcwK+a46ERU+T7o5UDxo/cOmaC6yDpIniAUKyFIaZpUJwo5apurAbAbs
XheFueh9DQWGoBmVqIrVzp1WugszUq97FEDRIX3j6kaCLAXMoHNVNHh6iEUA21VYlqi8TF3E58U/
5FWdx0ZbqkyauDhvwcknxXmpU+AfNjhORgGetbVT5Fi+9eclDd1gtnwiXWgnL492IekwAYkxGl1Z
Qg5Ac6Vx7ysfLU000ZSq1KWXPOGwpwzBh1jrE5eYKezrUqpkAtqbt5DyEkqPK2+8CFD2ruYkUfWk
Rcxs8EIH+DAQwoVDKs+m2tqo8jALeYY2fupbFTTIKQYqqCqq6cxM3qYzrgO1v7zuix6SCPKhmcfz
gvZThFJ9C+WpU+AiWnWjOB1G5seFEJ1KbD28kLM9Jw25KShEcNtkh6SaP4yFPJ1wfZnXVRFqtryr
WueDTM/SlWBFsWrSrlcuCd5Z017gNNslneVtsQzt4YyT9dKPPMSVFyhLbaVkml+aLB3hUOdV7DXl
m3o0b6A+NKtgoNvOL97XQa8BfgOyhUkgITHkpDfiddF5xygdjoTUfuxPLA6y5igxkIj1pg8HhpAq
pPfOtfOaF/CtRZ2u1MjtqEC5eesg4VZlSuTh0HAZWcisDkcEG6+1kp7h0ggvaiEvuPklwfN/Lywi
iCLfD4tfXn3/NjDuxn0NjASKCYFPgp3ixSDc3QuMUGeAl7whYoLEj7gEXfVLnQGiaQBFCXhbZdfJ
DvXKr4ERvh8AXhgGeW83q39XuPhSaNmjOVAVfkQyfKgYgpgPoVfu+mLlrj32gWLo+nlsQWMZz3v/
KC1CyDWM/RvRmvo72fQvWRWeAkIu96FDhzMMStiuj+O+4Ie8jsBhsc05GWUBh5kyW5YqI7gm55nf
tUPUmmAqLxaTB+J0J/m97VKOywvhsznMfD3hIxw04IzMps2AUSZVHJA8XnI0q34hEF+q8wQUtsp4
oATKQ681l85vUjVnKF5a/nLK7SEQc4g4GhLW3KGI0fYImOeZJ8oP1VxuvSQBHazZFFXxdh4KFC55
dpY6GwtcbXgG+QKauo9dzyFDyMeoailf5y3khp5GlYKM5bAdmjLsefGKi8OW2BAe720a+BvIFAoF
9b2jdqpvK6gXgEOkqpn1bdL4RgndOGX8ScAh7VZN1b9IHB8jUXcEnBcuVcP9D5Otjwj1dIRofTWg
9AgUw1fdBF4I5+5NqWcbZvN4bQN6NNOuXrVFc1Jn0xjJlpOI5VCbTUx32eV1B5mbcXE6kxOd1l3o
LLmoRpmGy9C/9QqyWkZIoRjmWgnsPha8raAQjI3irTmvDT3mY0fjhra5qsq2OAygOKAguUnDqejr
OG+g6o0GUSraLG8QKLME4FSm916y0ashbFRXo5aNkqJ857UdVXhsNpAKF6eVG1GYeeWR9cAv+6il
O+rzInXXpDAr2QdhroFh0Km1oazqN8ky0DBpRR2ZFB11ou8iN/D1wtl1k08jCK/dcc/ptYCcLYLa
9keh+RCmFOTY1smrtA0+0nwEtSG/zVs2hsgWhxmGEj6aRGhSfT5g+wEVBeh4QOQUKetNlYOCRQe3
ygVIfT0phpBaN8bU82XI6v68l96rIe1t6FVuk5GsixHNLtPJtZHhaR/WCYkrCgRmSDnU8QE/KYpL
TIawHDLQJuTwpvSXQOVz8LEo5HuGSgNKCCYrMpWJ8pKsPKl11YVpkTch+JVXKaSbNWXNUVaSs7Ti
PMoMSE1omt4PRQW7Z2z7WIywHpwv78oguYIehgIobH1L0Rishs5/VabVK5vX0LXgiTwaUneiuffR
eeKdJ2aqgjILOUG2jaYEEreYL4HBsSNzuWkw7P54pF2bAK8ZQrlI1F6xFGhrEpSwy4H9vYLCmtyw
ZSrOAzJetS0+9JbmVtt6k5dNpSrT3IAU0jrF8zTunchX5Qg0rcuLN5S6qAqSKrTB61rG03rO5uKF
NhAvPe9l1xcSBPaiavMo0UD3hlEcAxs2EYjVJrQVY2qB/ZuSZj1BfAWGpYHoeWuP27CBs6lI1pxa
w99mgt3mPlB7cGutogta6aoJh2w+horv1pv649HlR5r179KeFjuf87KrUVw06KVBZDMi7+U88yjw
0te4BI4gWGSQfyzH9BwKxucgKkJnhVstPXBTOd/0AyixGS+i0royBt0lLFusuO2cKgRbdc1wyrmJ
u7aEtGBZoixnozJyAhlaeCrxvLPZda91Lss4wRZacLIVbqc3nr1lPezEIeArQguuw6QeK61kAt97
GBb97HmxP8z8NU+Had22HQ6LdMIhE41rTktC3mpDvUsoDcV8gKaPsCrAb6nS0AaaFdhC1m42XSgq
yMEF0a/L1q46N74dx+q1bb13vu7Ihd+z5RwCXrvqqnbbYrTJOnIzJeIMZORTWck0qrXIFStBE87b
QYReUeUrvWh5RUG5PUl1dpmn6YcCd144ln113C0zjxvtCDyPD40tDtgjBhTH7CrPTRFJ4h31g33b
g+JyKTyiV4lnrWrAPjXkEHtAxgMf0HtVENm+Wc48J7yroCBzNM9yjNPOsHpHwN8k0vYRdRwKQnUv
orZyEQ2G4XBAblwnuIMKhjbzGro+snCogH2nrszhsOfscKwkOrTlAJKjewmNJWEboHUx0EEZL7kG
eleoJUBXDTNvOzRdptDUspG0f2vkaBRNl+T0Hhd5JLLv14rvgq6AtHsXcbHgzH8Q2YOqb7DAbX9u
xBgH6KwQVwFYzaAgU9A3P77XPovY3Qs6IaBgCuk9tOPDtyHsB3hrzeTwaMdzkcRJ+bqdV5n3N5Xh
v7vF7vq9GjQUXKtq7KvxvIGDCe1ZKhve0+by/+E5oCoJkiyIEdAXsn8Tm5XlVNTjeE66q9a8mLxT
b9j8+BbfwgJLde8WoHjcfw4HHD9FdBrPqbjU7WqBHjRgITXfFvPf3Gm/zPoZlHt32llyb8WqbGA6
cPAw7QwiQh2EGT7q9ck4xIM+WvTyN8XnneH7JA++5QSK59CgQIhku86Y+7eDbrVp6Rwaz6v2LXJQ
mw2u0ux41m/v1u+fFur+93INBqz5+7nGFVAz+P7Xb1ON3bCvqQa82AqSGTTD+1DchXT5XqpBoE3+
njb3V54BLZcS2jsohjqR3H2Z5BcBTh7A331oZoJi4t37tD8jwEHL4N7+YPAFOQyEPtghUJyEpIM9
8BFQu52CtrX6vEYNpScW9wk03fQ5iGzQnDBiqaZpGKANkTfX7aDfL2bJ1pNXX1JgPYrwD/MwQv2x
Tw87KEK0TV4rJ6Cq11N+6jsEilLRV8o0wK2BpQwRS2eIik0APQRNeup5SRkOQ+bCIjFndnY3XlA2
isnxhjYeqPzGhv+XvXPrjhQ3v/4nIouDEOjy5VAnu1w+2903LHfbBgRIICQQfPp348lMJp1/stbc
z1Wy0qm226ak59n7t3cZBk5CxvWVJSvuXcbPTj/cKlfiMq+C9Qbm5JTpAn8WLerdkVrCDFI/phoX
e9cse/CvPxzr7apZe0lky0MU6RuxNiA/m6pIwmH+NsfOU6uXNuWN9xCE+rXEAb5nsRPvPfijl7Je
ZA70TCcmbDA8LuUbxja5H8MJsg5Td3XtXyQZMD2s/gNQNZg+pr6zvnvq3PCD6G4fqPltJPUV8Zcm
VZAzbexfwV3F/5sdOle9mqA+SmtoJpryVY70lfEfwSwzFJb9HBn7qfzxotb6JZT2Z0PiLgMVtGZx
SG8dfLOgVedDV9VOwuHHw9Qx5W5p6oexDm5M79yswVCk3K39ZPHbAP/ouDtyzI5J6GkwDy65dcK5
vYL2VSahA7ijtN4Vr2i5546hu6Fsz9Vg3DweLVAO5+TPg0pYpE+xnHjisu7SL4SlEBTjo+qFv19w
M8cTx8xXmyrtlzbeN1GlMu5CDqNTgWXG+BBcW/xptPgHVc7PRRwBxjS31DUXVwoYRA4b9oqIFB5l
nJRNc/TDskmsnsuEzCtUG1cdOwc6ofKdYo83WpHOcrrCRYJ9dcXkrNUP7qh7OoW3sP6PJY9sSn2+
J1w+dZocmGdF0qz0SfMhcbvyeZT6A/WuGP1WbFehoQQEB6t2sVlfBR/6rPQh/ET9i2MM1LBxfnKY
7lO8FARw6wx5MDUPi+MveYDdOAG58dmNTgfNuD+ThV0aspSJXqyfxHK+NnaacxtbeYlmoL0OV3HG
Ze2nRcMOM9AH6ODKvumi55k79kUWqHHbefiLabKorZ8CjTU3ZnWU472WETKZFHCI3otRCwhzqj9Y
zwekId2rzYInwlkzuL5BtjrOHRbqKl/EsGaR391g0xDJ4lgsdAEkRluumyP01oD62Z61BxKcnOWz
cbGuO6W6l9GYB4vlGRbJPCbyGY7Bp+thiekj8qlW9xsb2bU7tzf9sjzAs4yScHSqnC6VTZZuuK/M
+NaStcNWdQR9fCKGtWCKgG/j2eNQSwmU3uXTH9X30sGkL/Vd2ztnPfFmB9Q8Wxt7DthkU8+dmiQU
IL+4adzEsGpKldafPWCKpLWzn7U2eqsH9T3CEZ2M0mkSX2KrACFOT9BaeDICe8RYTV5x6g7gzBUm
1Jb+1F6MbZf6dYYD+Wp0lIW/b8yuWqeTLrAe+qq8p5V943WIdZs0ZKcHGHx9qb10JMOBdjQbqnpN
dWUfdDjAX+Yib201Z0NT+7kQocKbTuItEdNzi90ql7a4kW0gUmIKm0ZO+VAU5CJ79sAKcgjsEqdU
gG4xS3tf9P0NmKlhV+q4fVXzWKfFPF07buQD+t7e2CF/Ad6vIW/OgE/YTNLSr35YIWliSL2bZnHC
gX6/EDnBdO5shgvgrieTn9RhmE2YJ/aVW4NNGgOShFQ+FrE4VQUlWI3a67Ga7uqQCEDwIPJruAWR
VF4uyhavnaaHkPL4sArzY5TcJKxXRQLDp0opH5y0XJ1PpMJxX1Sq3sfMuQNr8QO7aJkMbRRD64+d
tLUleJBiFTfuwEiiJKaYuCtSwIdt0i2WJoGPQb2KXS+TOLPDXrg7Xrt612r5w7D6RfZ4kOZC7BZd
qsTDrxyKDhT7OQgaMB5uuYMEh58pEJ5jEMwwFgjQpIo0eNOELX5K01O1NHcz7sRU81jiBzPyBG0H
Zdo6Cx63OGoyAzYKfsBm6DjrnDWEnxcnkLCRojkt3XlOnIY+hXrZAyh5D2V4y8v+w4K6hzDNXynV
dTIrB4+eEdfgCIebKFzPuP8xsEXi4HreUbe9Ssnim7yJXfk6tLw9juvwFPh447cieHEWckHb/Ps8
tDtW8Cdc9u5VTUcBMYMdx7q8RPXwyNbmEDgQpqNq2oA6iYgCmQ9FGCTR5tjLiUCjUeGU+VH0s7bS
ybDCg32S/bpbZHzvFd2Qh2FFgOlYkfc9XOGpNcXRVcsbdfAw6Gryd00TP1oRNUlcOCfsjW+KR1nZ
OFVieb+Xg8Tro/5WNpOHFdotc8eDQMQt2RldA5yowZsN9BY22LMkdF/0rT2sZfDJ3TnCGeuZxIco
lMdWgJeMWpgAIAwTVy54/DhMCWCBLBlW7xsdpxtGGsiSPX6xysGpXS2wi3i0zCl1+Jsr/HNTz2DE
6oKnkAuv6glSDtFqv6xQEk2wqfxuc+CltqBrsTG6GgLg4BcilVxB9GTxe1U6NhniUu0mxF1S2U1T
JrEVg0jZTlX60mHBSMoSkl83OI+Vmp8Ug4UlapbKub02oxcmpYHVUsLKyHzoU5pGQ15AsTKbdNW5
7IlAyyohC6bBJm91vWOwzuL9FED7sqXTZj7UMAeT05ZKcdMZSlkPxcz6uM83Cc2FljZQd05XqGtz
P6VOTz+p6zw6AeS3aBPiGtZ8Rps057f+zwlaHWDtOVmg3o1Q8ZBCUZmArleIQGRsk/osbV7KrhvT
wUK4iKEHcqfblcUPFyohBgOSxMSRiWf4qQ+Vl/aG8xu/lsdikxlj6I0lgi9JN/NHT8Ui6aFJRh2j
iQ+VkrD5xWLmSmi19onupciHTdQEg1om3SZ0DpvkGW/ip4QKGkMNjeNFItQDgQnvu0+6SaZ4Zmxe
NsHOhZraT3jrVsq7azehFc/COaC1zkXIQRs2/QPdZFkAmQHGS0i1gxJnu4m3CiquF+uffJN1Pei7
wyb0dsZ9Wtv6ZJf20d+k4BmasIQ2PE0rHn7QQgnbhGMJBbmHkiw2SdldRo3jEDKzpvyDYTauJlol
PZTotVMgaCBNl2o9+tCqa84zDfm633TsEVMe+DLMmZvGXbE52stN9x4ggLsQwummiEfSIlCEmW/T
y2sI5yYSxwJCetWItwLCOtfmQiC0d5viXkJ6B5qImzKAZ7aJ8hDnbdiB1IJcbyHb94QdGWT8weW3
CECky6bvL0GVVxD8azVdKxgABsJnG7qTfxq5t6TDl1HQipW+Ll/2weCEU3PXhroH/hTT1IS98xvC
/PcOGkDw+O876BYF/Gqk+s8tdHvh71uoR//hxuhZC+H6fHlX/9pC0a8WYplkAeI2YD62Kq5/LqJB
8A+siC6OenQiM+qyPy2iW7AGcX7GXGilX7HCv2B4QZH6ZREFVgL8HB1wGMKgVbm/LKJ4zKuxAnh8
9mLaQRBrBkCSqaFhg+cUcJufetMaAb0mbu/brBLL+mBkkZWVKK8Dw6O3phKgkQfct8N3HrWedzt7
I9wmPi098jeTYJdO6vVUBqatj4Ne/Ee0wzrh0RtdBWSTOfrSFUFxahbq6hyIKfce6oi15Ar5v3b8
yURJ57MKehXe9V27n6hoP4oJMrcUtWlTA06X710eezs2xPV0DztYH0nrY2ZfAY+veeEu5vtKItPA
uKncK9+w4koNA2epENijK8uGVA1K58Zd6isMDOS6KNYe4iArGIodRMUSMhTzuo8IXdNGVOa2AkcK
xuF71JQ/OSVdjgRCl/Y0/Oh190GZxHU4dQN5h1iexq5I/aEEWbm64U43jvk+05Imk+/W9abremnM
Zp5gkohfPFg+GWvm4qet6XQYA+EfK+z9107jd4fGUxEiGcYe174f9iScZKqmVeNgFnZTr3HXK7Mm
bCrO+OX2GQVFOs5jkcW6u4oNk2B6VHRewnA9NqStwNSxNiGs2mNSwV1d4pYNlpiDpjagjUWT9TH7
iEnlYLVcD63HLgGv6X4pZp04Y9ckZYE7ZST2lVSkyJoZaB3yq3sJLhVYs8UYrmYo6lanblVZ+FWh
zRRmuZw7vX9xsWE+OHMY3AtKxQd3iTp1Qw0YeiLI1dTDu8DKdPW3coYAM4xrSNv//dT65+fL/Hpm
/fay38+sjV7ban5jQGoxCSIcZ3/Qa/5W8BwTqJq+G3w58b+fWSgbg6sdgCwD+oYcIV71u3iGNioo
oUjjUAjiBNb6XxHPwKr+cmaF+AQIn8Kfj8DLIy29iWt/0nJjWw7MxJW58Fr3p7hl5KyEvYpFO6Sh
Uc+067KB6+YgZNSuH1CzBufOLLg9hxVvRc+2d6zqMTE3y50uyUmOndwN7Vgn3rrg0W08Z1+3E4Fr
W+1KeJFHJCfctOwLPOXzWFYpmwax6yL40w9L2X9jFWYfB4Z/EgFf52nvA4ebrLOesBjZqkiXeKlP
pm0y0DHOQTvqs2RiRZ7OLfaLh2Wg8hp2RI52eu7R/nDl17Q5x4FAcKV+6A2MuTzuFnfXe5slqRw3
iyYGqzdYg6xtIS/5lIF19dhVE+EUG0ovDbWvd6Htb+IQXuoUSLab2tXCNdXg4SsxH7C43njjyFIt
hm9qLq8Xb84rd8n80QflVl7NK3ZZzXEM1sAF4LbF6WxGkwv8hvGed3SOL1Z+Atqj35eVT8VuCIcq
QaAHWYtq9A5MmXs4sQ8xd4U59rRy9F3tieGASE4qhooehhBZ5weqEQOHdldEE7TNguwDb4a+FRbh
Z1OY+Qgd0OxBTzXZ2onbhY83lPQn0VY3g+tfxdrZyXE+Odj65QpOdhCJy9c0rPv3Wfj3tWbf/j48
cHhsM8f/OjweP6q37u3Xs+O3V/3p7EBAd+u62DDVr0jwH2dH8A+XQsTbQsE+5g6MGr8L72gOD320
mhDUG3xxQf86Oxg+PWBrSfgK3GJYif/K2YHPFPj17ECWEY0HWx0mChg2kPbfzg7RgjFq8W1cJlY1
Y8aD4KkM3QMXAq5pW+YeQMU0dKYlKSZztPPiJRLp/tyb2EmHiMD0QeDtSr48xo4c9oaDOBNeDa2d
djk3/c/St56XrNrYYk8pUI8scMzzGK/kHtmqeU8VLa4rslCgp/DIBz9I+2hSZ7C6JgkhE+1s5P3Q
xfjpFkYf+lkA3eNenVI5Nnltzf3i2bto4vRuwDSEXoY5ztxWmERhgktaBqilNGBKFgZHtsN3Fdtm
x0vjHDweFTnvsOPHpn73hG+BtU4wHrTg04FuInTZr0WiAwRGmkJ4l8LnEqw78s26YuIQea2X9Pjy
a92KRMH2wFepVbLCS0lUAOCfBfO5jYoLl9XJCv+gFbBVLfw3jT3nipZg+6SeEDgu+L0Mx7Sh8mpy
XEhMNOBAWgDyrRUyf7AS8tgMVaoqWuQujIJ+HR8QUjsgWBIfw2G9VXOzoEuCvQRD9FMqeTN4YYQz
sMK6GN6iReKxnLDQzSB9p4Z9qp4cXcPOIU5wnHAOTT0Baqlv5Suf2xMV9TfL9ZguzPm0ZQygRbMd
boHvoWAfvYiQg0KgJOVCxwBT8WOZ2qAHMlFW13WNbF6DjALaHrAIL/y5cbH+zh0Ssq1ABNrBbJd3
UiD2MY4vdBq/xdSmkvgyb8oaUlBZQ6xvh2cZsGbXuW2Y2JiWGcKEjxK/+rb1pyCtJ4zHqLGYUto6
EuyOue1HAA1uNPMcTPZP0uvXqWregTKRXRF4733R8F1lK30SBQIFDvLepYimHbVQ7NdhRBQLj+ve
uG6duAXpVFJ7Q5j1JDg6hrF9GXc8DWKJN4KMPxdOM9KMP4J+Rl4QGlvu8REiHB0/Z9EDJnAXACWx
26cI5bS7eo2gHxQMSRXG0qHGewTCNjJ3sloRRBvSAGsHuKRpX06UIRhsL8FUHPxQ3FZWXGgTHx2n
RuriiOu8mM8Mf+dI9EM/zDqlSwRkl75EsEAaAQdoDviSFdzuG8/7ophGoV+jtnIzuPEqkbxn+Rgx
lUp0ceBSEzvZ9GffN3vYBE9jaY7NUF7rru8Onj+miPnc+u10IGbGzjAzPO3WXrrWX08IXn2rxvom
pBghoOpERz5E1z6DlK8RynUg+8bIaUGCalYQy7rGruSB6yi9+mh4fe2b+trr+m+tBy08nkeTUK94
IlH4YtR48buG7JG2YpnlHk0h+IWZQpXkRrQ2CTjxPYRSaIt0tamzdPczLV7WAt/f0JsxWesARw9e
VyL1BhyjzXreHItVfQzIcuX+2qKFhfkHt0TvSLXQButX06aTrl78IrjTc1AmQW2WfOIjyZpJ0UMz
uJ/wMq9IXV/XG71m2y7AYz1kbld/W2nwWBT4vatCRshvtU6C9e0eW+83r4A6XQbiznfAW3lr/EmZ
2evVWZIBibncH6c7VZl9IfzHqRrP7uSUSdTHJ3QFDEkRdXftIDIb1c6pmtunOtQic7U90SUGMNYu
UJHBRHOQEFDm5wYkGVCn1QVbJGYHs4O0maPaT7Akj6inCZLF2/aaugL9VPF31YeXUkIGd+N5zQg+
QjAVaH24mktnPei430VzVIKXWu8WyNO5M8Ftalj5YEFaGt85sKK/YqybdqRXJ3CpIOW9Cnrt0C37
YKYmbakMd0W3vHbK3enSfQNSXu+tX8Eqmqcb8M5Pfjhdr5HES/06JxPZKV7mk4yv6l4d+Fjow4qH
KJ1XCkCIuPsl8n6uXn8OS5zZlgU5hZGEhpUPja4abYe31ZZ5BE01GReT4hMcvknwgEUD/tAizFg0
oN81TtNS72A1HFwX51GAmyKq2zgLG9Eiahc99gbFNyT8aDQOyjqgMp/aCIlXxBj0Wp+9YFYJ9KmL
Ymu598n83OK5hQoPEgw0JEgg30nwRruDmD2hEgh+rQvjFnenymVdmcTBsJxjv6CXeHN6HWCyezWq
1xomMDijNpUre/Ii/Y1vPrHCuZCMyAVsVriHE8TbrXCWgyK2e8XUDt/fD8UHKLqxfB83O5pxb8rE
ZlEjGhhmBVxr3HnnebOxEVu70puxrSeVBpvVzTrzDjgPiGU0vAeVuAA0RBhsM8g1Fmhvs8zJZp6z
zUYHuwhDfbPW8S4b0iIOb6rIxbtsM+CdWu4kHHkEzqs8wjm5WfXAPB+WzbyvHf69gZsfAo0Pqq7b
F0WzxxyB30ExPXhh70EEH6LT6kTHXle4igXMkBajUVpjLYFm7o0XtpKsXDrYgY1M426+2KhoweVD
8g3qDjVD/WfsiDLHovZtlo6XOwOAglJQqDTA//rSeXUHU9xB8T3jNEdi9Eymal/VJITpY6r46OqG
DXDCWlnRRNUufCAOLm3NYZgP1fXfc/TXHL11qf/3JfyPjuX/HKW/StjffmsJQzM7pEPMqzRCyohQ
/J1/jNJQAX0P6zfqXglo8j8ViKHvHclXtPKEvwPxf1rDwXKhWzD0gn/my/6CdPircBii1AdjNPpB
Ikzz/hfh8qclfDSzGTq6zEAGblVJ8gVG059+KP8Hs4d/378zVIgJQCbaWJkIvTXkF4aKzlETmMiY
C7y6Ux09O+6FhXcjOXjFLU7Q0cv/99fzfxFDAYn98hW37+hP/ybfxqpGbBzCAuyQJEZ6kyXLKP0O
WSE53s1KxqdJh/0NbZApGumO8mXIh8IifKZRYJFzvNW+W3SuH2mArXsZepJ5owySIK6uQ9k+i9hv
0l6575PTfDLrvIoVFW4IOMA+wAHKS3yes1gw/wV+FeeqdbqkK+vyQBq6HxeQoUjzYYjra7kvFivS
GnIDBiwTwBZ0kejxayhpMdye+j6epitEMMCq1/CmhwK/JRSAdEWMEWAGybngSqTzXYEAGkbD4CCl
dztVQYK16ShcU+MiL68k8xITOE/K8cpkEt+nNbi1UYX4+zpiVxr3tSZ7gksbUK5Fgk3OOwc9BHvE
zc/SROtD9LXaq681X24bP8XqzzcNYPiSA2AP4n8wHcyMS1uSaw2M50Z0KyrZRg1owgTDj8aNrykk
YId0131UH20DOZgVN47b3CwrffFa+FZbXVjCkMNXfv0TRVfvmJFD5OTI2fYECYEAW0B/rYs5N2Y5
LkF9664DEPQBTWrL9YxorokBTeu1g9ITzlfj5L4Mxs8JkfC8xPoUwhRPcKE3N7URt6LRexND1Vyb
kysbjEU9COpGqzkZLPy0cQITQZY2H3n0BNFbJdyB6e13vTkaM+t9C1b5Lq6H5bpFA9NuBJfUdu/M
mS+kiu9HozzEIluNzhe18/ruVLT1rRHOwzwJ8KT4tUjb5nGN8brT71EFwdejHFmsOWemg6BkvQwi
WkY4NC6DGWOE70hnsp/VtHOh0moaIyeO8VjKh1WQ264YhnS2CHCjtGO6t0t1TwvvqJCtRP/GK2mA
A0WheuwRcUx5rT5FMOFpYph2AD6tuIbA4aVeM324c3klQFQNBBlPnGBHFB7QNMDgRB0MgkV5W9XT
mYRwEcNub90wbyN0QNjiCujsAWNDMq46A7VyA7Ez82fniLft3RKXGrADAjMBgdDEgmeixi1k1qVD
I+ZEhO1yaOawPapW7Pq6NBCxnVMzro+os6uSpdU3tZJIu7sZ57C/TQH538T+GzP8jUfxWcLch02O
XoB5VNj/x7mDUj7Fh69j5m+/LICW8r8uvd8/xur/uPXwyj8JSKhnQNNl5EdhwFyQtX/ceigwp/52
G/z2J3jV7+Lzlo/GeA6UEv+BaxF3xe/i89fnBiNQFoT4iBPI2X9JQMKHY/zbrYTbKIpQwYnvLnTx
qbT+V5/Tn+4IpFzEuEqL0auNXdBCdb8LpornW+Cji6zejU4zBokNyfQNZUxX/WjZnrpxBAMJVk+B
wpmsELF3X5YUwgA6NbtFRCl1a7Sm6PUtLPz1BlU7HzMdEP/lkGL6tngIjEPPYoJbs0xIE/QIVt+A
QceNUz3ras5nF+0zNYtPnfZPRHmfjV2e56o7RaS5DK3KMBgcWF1xzMeo+6m7oM94i0MdlZ9tZl0y
pijKqBIS0g8ekaeZOt+byfmYp2rIom3DgxZmEyG7d6w4kIdc50bD1888oDXJ3OAQmBj9sRE8GQup
h8l1gv8FqiQzi3yuOnnn0zJHRRL26QUu+mD0hKzB3pTnsj7SPrgfRnoO2uJjhaaxiFvqoQohUM2N
2OoqLH/phgAXXPGzEuHjFGK2dvnnUpI+q1v/Du1SC2St1cVuOD5JRwO5NNjZTFu1aFvCNowjY8gU
XR66Uofw9mdyGBF0hwyBYBL06ShZJbS/DtN2OuJsyB2wLYg/lIemIujUQLLbGIffh17rZxYFSAlf
cGV7NaCdUDrBGQGVGtf4DJojRsBtBQApR4tz0ZHu3tjxGLpenalA1ztieHgwCL80z6J0ovLsj2v3
wsHDodyoG7ALtNOa2gBNE5OtZ1AS8SeycgdbTZdKK0BS3agjpIpR+vJdbRnWrpWRkzFchYeaeMUO
MWIPVaa1TceVGXAoCw5FMstzt/r1UzzHz0rX9gD97HtTWxx0U19fZpTjIH5v1M5f4kcm5mOA0D/4
MbNvMRcdUDb65JjCy4w7B7kFH7YHylbed2QLp4++uIyCAVjAzzIYp7PFpveIJyBKexKhpG5o7S1g
M6QIzdwjcjb9GH2XXkWNj6uJVx+9B3NwJYub18y7cWJZ6MQ1Fj/60Esjps1BmUIdfEXbh4EO7WWS
kXhs/EVnvQcFbSL9o4x1pjWF82tgiZaIolgqGhz2DvKcgQH6IZfLrFmROkA80w5KSx7W/nylUe+y
W+oCaOLivtmiT4dqfkbiC8ky5GwwAQIGLQlbEt8SB9IUm783HIiZWIciq2Mt9raXzc8mCMdDi64t
iAfxqZkre4A5i1lOb8ubWlHmSkOsx3PgQQcug/gcT8vNCC49YSDb0kjC/OXdpNCVEyOE7ovx7MQr
iDUPE0WDArDfxt6/76NtJfnv99H/697epfrPu2h71R93EdLFEToywhgnPWCLf7+LsPZsseRffVBc
RSi6CPCRWiAGf3NA/nUV+V4EpQZpZYatDhHnv7CAwXD9j6sIXKyLuAICC2BByC/pGdmHaxMuxXhx
2+CxkeODP4ZXHRnvGttD+J5IdSpdyNAeOfBl4VnXNAWgIzqn2poicQfwGcDxTIaurXuXrJAE+8hL
ZqIR3F+9O+0ih0cY/i4BlSpvEfA7slL5W63Eg4ogrq9Cxokn7dkZQFV1gvdQqyYndWxYZBH4qbzd
5CDE4oYbV3SPETzSczSt4pr7COdL6g8wEqFD+220JyM8zHiS4AMr6B+rEo+ViGFwOh3kGTUehx6K
WqzLfGxQyBWR7gO1jc+ovHOS1g8PMnAenLWBSDSM53Vrt1rD8gcqbXkyhGZJlcRBqsDfX3tl8D5V
bypINSux+BRlNk8GFZarwTa1NG0mWttk/jr2eb/wt3lFxhIy8rvR88nTKKFgLv5BaiqOo0Kg0Ylg
t4jcWa+N9k6WxN9DTo/S5SRhS+hmLAqvValu6w6tImTCBiatd2moapPSNbmHjpFUB9GY6LIcj5Ha
cOmiu8cwT+6YU/1EFcPdKGL0WLVBCzmo8nb+IP1kjCYPCpgyeV8gxtw2ikPum71EYWPy6+oIehb8
MBBEHot724CWdVfj5UOA5k2I1CD5GSoRKbSvvBz09FBqF7FCj72UjuQJTqI96LPT2ESPhK1vnlOK
PRagRMOI4FPFMulXCNWiCg8Udn+YwaGlVA+nwMO/ZVXDngUwEJrCE+5tT7R4QLkMvjDkwr6Rl5Uo
JAFnefQnZwuGvjFZI0SCHRrxXe9VDdNZocovc2KCbto5+LCz+ZiiZdmNGuHPYYyLQ2TDHx3eoonE
t5I2sM13NbpqQr8cr7rYPU2cf+tXdrUOuNVDWe3l7FwPy4KqCzfedNkCi1RToHZ8HG80X/H2mR4r
YJRDheC6CACwgKt8KNYAVI1vXoYgglGAmSAO5Qm2NHy/hXa7GPFdWoZPqnIrKASCYnleH/B3ztdo
0ZlQbyZlrkuq0q8qu0mhk9Bj2y/PBkvq0oJmXkFewGurdFqRPxhHIU6Awm1qnQjxvqUeUNDd6nS1
o3wt3aI8CGyGtxx3CbwPhJHF4iEt0T3H/gqKERlYCw4xGX1Z4xfUCxCt3KDJrAE1tWgfYDJ2Qslp
lSnfHN01do9DXB0jr2j38CNIMtBgSXAsws1AA9bI9ZrIQRyIHg7coYhL4HrlXAN2aB34nSHRKZru
kDEgVZQxDLl6g8wj/BeHbNw1S+Q4PXmWX4XKnGSA9CtRD1M0GZhi3R58U5MIVK0novFuJmueasRQ
k3apbjti7hrkVGIkD8ZufR0LArsNTctJJ/kz2khPxLqHZRwfdYwdfDACXSwSogtr7XUzIr7rKrnr
lnhMfGXPBWK5DTSW3M5eHiFW4htgTstoPklYfK9L74LKV0Qd+9uBRyjqmcYfRQFxwzTra1thtCdD
HIN27r6PXQRXbcEkqn1MHhW5sk6/yeV4alBJjOEOgFyIeYyKALGm0EewCmWa4f9n77yW47bSrn0r
cwNwIYf/7O8GOnczi+EEpUAibeSwAVz990CyZUpje0rnPpiqcUlUk2z03m9Y61lJ+W1S9u8VbjDY
/Psr/FsaA07A74GZ75IY+Mp31zjIbgs3rk76BrPPH1pKG/cJSsvvQss/Wkr7N5Q2OgTkJcPhqwjq
j2vc/g18F0on2hhEE9qvBTEgkPr5Gvd0C4Uo7z8rGd2iKvhh6tj2KPEAXSqYDzgtBcyjhAOpEHbB
TqkrN5kz7ZTWZOoS5zc0kljaE4BasgZVOHWlL9JuPzcaTNy0TzlM7BKMxBT6de1KkLDtJ5mPH2BT
vlRqfZ56Yw/i2wWBJZrALJn9VUggvGabazkFLuDfUU/RUdXGZ5vV8+DYrEMM9cZTWdxJN7Q4oZtH
dXTeRhNgVSqru1wH86HlwEXgQK56xZmD3KufzL7q/USrqDsUiQKhqiCbKJuizno4zM1WZvj+Tfw8
q7bPD/HsyMRnbcfNj39G8eGCvFRiUKabFJbgsBGjJtk8lm1HU1GnajVi8zIj36t0Tn/pIY5qQDm0
Ux7odCDrejKCAX/SKlPS6z6dkH6z4cpLF8Womn7pHOc1ZE/CTMll3NpdSJnQoR/wgUbpLz0GoMpU
3jmjlq20XH9JBXLS0Wv0AFb6sMY8dLTDtj3UavGp1uMUgb6ISzWwJogkKzs39Zs6wzVXxI7lyym7
V+MhyJx+WrVjpi4d91OBfQs1RnlVzWN5ooGf1pBAg8JBYBlV+0KUDLnbbd7EG+E5B2qqJwcqIgwC
Y9qXdgq61FT3Wp9BcuHnBhUJviC0uZRUgWCc7+eRoVlyGBInCip+fStXg64QSiO/Cl31XmCd2eRM
VFknO0cTXTpXu6yTD1mr6ILpM6uJAOvOedanG7VFWK/acC9SUdLOVOpdNEw32AkY/zXGVR15EI/1
HV38jZU6+1DM22zod7E6t/7QRRzO+RVIj60+6hPjA2AhOe+8rFZxakF9ztNHyynvKTS3ku40V+YI
KHG7G/vovirmUyOTuybvnxDP72CSME8VcbW2CclYtt5bHH3WhtmxjnxmOtkFzjvecuAUffqKvYXs
Db43BfxcwDrX2tk6MNHZ2Rqz9aI3MHwLFY0LTLM5Cm9z5Gn7yeoQOCvmXdLLT4XSAoe+b3rEBV7t
3URx6leMSotqPjS29kH1UsmVmG7bpNklhI+QTmCckzZ7yfsoYcdpb6puoivGyYgBN1lrCjLiepIf
vVBjG5pLf7bnCwXUFfKWR51+tGwVqBmjT1+C4kK1fTVM7+YovpKa+Vg38hRb2gdRq1qg6tOmZte5
TjLlEqreNs2LS4+QeIVm59OAriMwZHjyogkC1yCOQvDX2OhjdOzwHOV7N+pPFC1H/uYcjKNhHIAg
gc5ypdA3WC5YPs44lm9jeh4dnWP0nC4mOgtzWWOpb7PS7rJkeG49uZHeEEwu34LhvnQsGfPeVNYU
HL6h9euuMzCcVk+TA/1MX6ZI0rRPrt7fulotfG2UOBEb4ynpmz0jWIxeQ4gF2bwx0mgPjv5GL7xk
Pc3D2cL9vB6tAvFA4+49/JZxBoHIzR5TPTuBSHtwikpdAVa+7WLT1yt8tAWBBGoPHsiE/MN7kVfD
ZzPno6Y252TQmefl/T6asDilybATen1EKXHLQ3IoeyZScdNdweXcDDi4eKqGp1yv/Tk2xWZoVbZd
8shQ/qgY6rJeUfbmZO7UBmNiU+/zWe7kYGHcyU6j1207Md90QwbiJa/PmD6PY8Uj6zJDyVvxAMj6
JZPJlVlb+64xX1ukjnFp74nq+TC0yZ3ltvdk/gp8geFmsKjZBpcVCSD0nCXAjH0HNMdp6opDQQoM
YwN5jsvsmMzFyyiMO0+ghdBBsWtlra5TW92aQ7KBOn5l5eUxcdy3r1fyv7XJMpn++9rEfxX/uZRN
9/oXEwa+8HtpgtND49BmuPRNbf2uNDGXcGboxyZmj4Um+n3abbIYVrGUqDZiaxgCyx7z99rE1H4z
XEYCrHZsw1ogn78yYkCy/W4Dy4AbPBnaHsTgqKwpk/gW3u9DuxCDpZgL/boox52aJScnYvQ4TP9r
8eoyuX/3Ql/pHIg8VY/FNJEauLx+fCFg+5nlxpm8tizQv6hlXDOw5n6xoCSrUucaVSTjTaqhK2/q
T3VWPTg6bP+KTnAtQdYHWaNlx6GxPB+lM7kTE9ZODG5s7GTzJNuqWudujMZ4IWjGrbireME158J1
qSLd0JwCO1vNJ9oF0bw2HPxz+ewe6xy3QqrStkFDXubaO+yrxSa0hw17is7vITz5bTYu5utHxXXO
MGyY42nGEwdDuR5G6w73za2SjzAXrEuXqAOuOFa2RLXsgTdfZJhHFEvaQxi5XNsR9kU9TtBQD90N
DOiNNPtHz21e9ch5ifLpuZk5JTKcZT6ZCtdWEx5t+MYbx+FK88Jm28bLcLhpHko72iWuiVs2jo8Y
jD7hc8k2Q67iBxkmJIXlWPngClAommWx0br5RcvzgfFremW6zQajL3T3yvBrO3vpHe2haaNzObJZ
LLXpFvvJ1kJHFtmRgpYGML80jYS2EwZ/rFt3ylRRanW1y9j2xety9D6jj5wTP1Bv4s9jJuKCCOT9
S+ET9G/uhPheta2zMvTWnklRsUDw1pozXXSJe3tqzZVEF7rJNHENjDvdcItv59w8Y+3E2K+ZW2/g
dxvLLOaCYiJf1d5LAc2aLuwW4SVK0bn9kNhMASLAzNR74q6V/V6zsoGRvPpZJWFtFcnpg0gSazsa
85U+0sa3cTrAkG6+MPT/onMfrrNR25XC2zPn09aZlNs8s25yUjZGp7RPjjEXyDOLz3NaPcVOG69z
3Nv2kKW+WTvZTvbG1sGcrBOA5RYmiGgeMUYLJi4kbYzrj0VaYmadXYVb17JHrNPqyOUKP4KctJ0p
kcSh99xorsStUDfjQQiLvnZC9Lhsa03ji1S9fWJpm2EuG9rxrBo+ZJaR4NKRGoova3GY9yObiCzV
90aFnGLIWOVE3Nv1x9BObrVMeQWmhNXWa29Knsb7SR/ux6jtmGNgqZSZtldyKw8KTO9uI0p/4UtZ
CRvioR2SxcYgn+0UUMEYVSx31HDdVuOO2c+KRcoJRSL1YLuTsnsicoSVq5euh1QFXV+eM5uPrFFk
1wz0gKMq+1nE2DSjOA7mcco36ZB8sSW3VypTlmy9dguHBJxZ95rNkVyPyDYKu3qSTcCwcR+bDbR8
ZTfZzscxVV9mCwqII/BbT+JFmHeDbHdT3x8qmg6hUFLiTNU3qurHnsnmnWgUaZi7AeAcsmIs6HM1
bA0n7Sg0QTZGg/lSmBo6xFL6odI0wDEqcLTF1VTK56ZMgd5P5geintxzpRDKcU+UzDpyzSbcoSkB
FffugqGCWCL+/vMu0u+nefByinJdmNgFLdw3mNN/kq+0LbSAcLKna8kaYWVuw8N4V573VKPKx+Kx
CrI9w71VeESA0fvp1tj/8+sv4+YfmUe8vAfXwNIN3UK48+MhzpbIGhS7n68H52MV7j2Vjmt8Ucp8
9euvg97oq5SJna/6U7/sddxZCWz8ay05kUu1EuLVi/Y4U/7H6/x4+337dfL75A7UaBwYQP7489SQ
ja1ei9Vr2zo29lWFlCb+X6ww88cZ/u8v8u6H+elF+lhVWz1bfmmb9gMTzGDYqV9cJBcrVnU8Y6vb
JmhW+UbfPVxcX6wuwznZfGiDMLhJD3K1A2N96nz+ol9u+F/w4Z9/1/qPw4lv399ismJ9boA++nnd
Lcj30YpJ1a6REV7CGyi8Z+0xOhCJo6x7f1odnrXtuL7UG7mz8NgfgRPdYCvfyJVYf/1W/i0kF2Hb
3xeSf+Z0/3cluXzl90pSpfJDL4eR5o/g0He6CRLEWGS51tdxFdXXH0MuxBHUBjpuYhTOSAb5oz+m
XA7xpcSMepSftudQT/5KJYlB+YfTAd2Ey0Cdb2FJoEfNqP70oCuQCLNmFOVVj+x8Pqd6ZaUXjIQp
8MwuF9d4T4dunQvrYqHYRYr62YzQNTR6DuKVZTvjqVOtN8+opQ6iLW6pDP1OARZkpOHZtaxzNZI0
VjhyGxlD5DdtdopV+TiD9vSSdoSwoZMuhN/kxormjZazuo9RBPdARP3FeoMbIT133B+j7bKnNYZC
+6Qr3E7kQ4mNjAYX+LZjNMkBpmUX4TNQTKKvED0gqquM1EZEp+IIsYdq7yROvq0d72ALfD/3Bgzb
BOmY5Nj1vCg2T02atM8peBS/H4xc3wz9gGGt69Oj02IuWQsPm0rgNNj/vdZt0l2GbWMO6gaTdZBb
i9lPyPFTj2V7JaG/OpxUuGwX9hOTvCqxOYAxaTuyHm9SV8gNm+9zEqr1Wm9RMFdxEtRzqDIgMIIy
ZPClhh8UyAedo9wOkDKLQdLBFv6gdKdRWlfeYKOuqOCyC/2WWu0j0ukjsWAKbp7+TDnKpF+pdm7M
IqzxtNuhV/ZEswXI6y5uVL3pBmeYIncMEw7Eq+yisD7hgLzk+njpy+YTZIZbLxY7PbUfMnTWseXs
Qi26splrgaWp7kQ140ROfFGpW2m1t03n+sYo9xivH3PHXqke6yO3PQgSbxBGGzpBqG8FoxVT2BdD
9oEsXXSK81or23OYtNceMZENNb0D2LJCKF048WUu8yvi6VaehXYcnWk76o8zkolBT1eYLi68l+sq
lRtyGy+A0y6twWLJsDZ91x1SK92iAHzRLSJCku5cGd2nqHTTYHnrIweaZwMVIte2OH9O2gCIovfU
S68TglWnl8ZmWggYBXfEgxUbe5Eu73Bf+lWW71uNJBzScLywfvXQ6QyFeHTS+KFUY6YbyiasrJNh
uhu9zy9qSnaCPWknaY6fBr6JNdElflZop3DAuuJoGKq6U+RoGyUZj3KM95hfsaFMzWvj6LeDN942
U8ZQNBqsG+R+28SW8cUOTezien7VCDXd52TOLabxcsGhDvy+rLG+ong/SY1Hqid4SAytsq5tWflV
632ZovGijqCCc+ME1PZmrDvbHyuMrEI4vlHXL1068fgZNjr6cDvWw7RRjPBlbsRZeiMQsLy/xw0f
GIrB4scEQ62XBEJpWYEBK0cgr8RIOapBKQI91s6had6aTdKs0Yuyoxp5x4eUkKpK2bYmU3LwaLjI
MrbUrZNu6lE7d2m/zcJoCSOkPcPhytPBu7Usv7y+va5Rs64Lsz3qxrygS1qUmsxnwuxk1MoWQ0SQ
gw6qdB2aUJ1/BnjDmzErSBdbpoIhKQpJx1BUuPuS8BqfyhC5bsa+K5yxxEPqW5eAAtd6bKEATqpT
ngDWoW5d53r51DkmQl2d1kzJ50uvGWf6gS+2UZPY5+q7sCowiy26Ljx8t3ahf+g8+wCof+cqvdiQ
LAQlLZFny4MeMpicALkCM9SrCqJH67BfyaSqN9BwT2XNgBiQ+BUZXw+DDVEGr/59ZFs87zjyCoU4
Aje7gowDmLqmNjGa9MEb8mKNrAw8gqXIE3kH4hjTw/97938LjVmSV/7+7l+XRdd8/A+ghe7jf9/+
y9d+v/21BQsCFdH7nirz/fZfOJhYH3/XnCw2gj9vfxZYOtp6HRH/gid5f/sjXbHo4e1vMhbvV25/
lmY/3/6IXRCr8G/aVBNk3/xYS3u5A11nsIYrYF0kLQLbKNUDGx2TISXBlMwh84cpjVB1jMrJLVBr
pxbrAYlJJS4UgIVdSgfaHTN3vBvU8TSFqDqq2PZWhDAx9UxmQgq7DzKfLk5u7K0EQpkIy1XttlfV
iGms4nke83qfzMjdc/pVGbKSDh0PG5FhvBksSpD9Ls7xJJvWJDbpQZMpiLhc0FhpChdNwAr22vh5
sln4tsKcAq+bcl9tqnvTZmVv9grw6IzpUTWr6wk2honEbd0U4SMwZIRcNhIUojysRH6yIZGkYZ37
DAc/s2Zmz2YnTzaBaDimAKLBXO9rfLrE/j3Zkbl1Ha4u9jab2AWZYrT5Toet6OMV45LCHjmZA97N
Yfw0leGnvBsxZTBrgb38nKiMzHMz2wLz3bvkuW4Ys9M0DMChuJm/RCoGw1ErnipSNbCzDoaP7fjV
XlSobTZ9TCorPPYWGr6GC4BOHNHqol7VW6fxTVIr15DoQNovKlcps6Nm1cOz6w3w+rnYu83S8s6m
kwRm6JQcR0C6oH+QUBjHEAc9dG39onCbFq1btqje3EX/Fi5KOEBcHrqMLA5wVpGlpSZhUKhtckzU
UkCuk90dDrr5A4qjGOgXaXRZK9QzegwHbn+WPZcN2oDEcewnJlT5bdto9XUMVnBPEM54qr0QT8Ak
StIUauJMFNNMTyFO1iUsETdAMwudcboafhrdRHF9QkvrfaGrN0gGtSCOZfWgTvzit6Gr2y8KN/ab
6YqeaR50BNlNCzHOXU+sCVYtfpIVKkCemyY5auAVumnmty6DGuxCC35BbeEwKHV/aRYyQ7gwGhwV
Uly/cBucheBggnIwF6ZDjUEhBbyA8887krKJFnchQBQLC8JeqBCzmUHl0yBFOAszovyKj8AY4nzj
SUCWKBfGRLbQJjyyOvdsDDEMLCwKxYVKAXDxbVw4FUQ5+uNCrvi3kUNWsExc/ukw3+fVa5N8FP99
kC9f98dBrpGCskxvPCbvv0MS/jjIQUlpLAocCObIct8vBOBFgYTC94UcEIgTJ+yfB7n+G7sFy2VR
YPy+YfgFzaG2oKzeDXm4I2AVc13w49Jmgu5e5PHv5O9OzL53VOrpPBpVpW3QpDL1rhzG6m/qPBcW
+RCow5DLGYnqzLvSzhZpeIitIoAOk92GerzEeYTgRzS0XCvD1j+zr2vxZYcfmeHfURfl1xOMYNR4
tr6hocUVbKrtubTtt7hyiQnIOYi0ok02cd8bOC2TJuhwi0Fb0qzT3Lf5XilER0ZJhs4HUh5T2BRn
1aVSNQMEvndK7S470rgVPtaQacPWAMpdzRpdMB9fM45vVjaYo4s5TIfMSk5u2YVHqrJskykesxYP
mBeBIDYcOgSYm9FzYv/r8r02xgwPjIPSYcSsBbePca2pPAvE2JU9FgeMOveajSs9zE0CTBNyXCJv
Ui5Nan+WBWvGunS0LUfx25ymLygi2hzBoJbvZeiEpwo3z0OTd2g7mvgctQYAuDh97ch/fQY0qN7M
4Dc3gy2Q7LeCcnRargEaLQ/IQqgFtlSVg1mN6skC5bpNGNUDvOvtU+M4N66I0jumknsZT/cEvRer
0izMreqWN46d4xsImwKOlcmNXEKemzOkoqaK2HCcMuWkxX2+ggQdW89DFe2rUDWyYxdOGob1XJlA
9s1NYzdXMe/dAOMrOU9kq7JiiDAE1euUf4nA2oUFVrleDUnxKyKMpbl+r+gLOEwfMnbtAzSx5CtY
rJxdprYIzYzwykM1sibM23sbNC876bjnib2a77gV2aD/e3p9O73+sRQ9fcxe/+Lkel+CgoZiRUht
52LRAQ71bpUJ+cUzyRtkvYf+6N0q0/B+swh0Yvr0u6WHf/CPAZT7GxppThzkzbbBuvOXSlADn8+P
J5flMN/CAOgybYUm8/M4l88shNC6sK6yQURHJcrr8G4cgUcgBkmyrTSXPsthY1aTV0JQmdibDUE4
Vq9YuyxkrZ7ThZGEqHICpHh/NuOCMIbbQNmUayfXWmAjGOOIHCsOipcidJ5ZeYxC3RAoywetyzbe
7L5aKTONYZKRD2F4zhE7Y5cb5TEtxEZxh6WzTvtblmo88qP9IkbgDm0ae4HU0q0gpXYmwEXq0W2t
0cOpNpVEq1NlFXmz62btAv/51Qn7m8Rwr7Ag7MnDuEtcAkLK9kmJ3OpYhOWxjtk/xmay1zz5JLpo
7SoxOi7rgRDsEbcquUxmZlR3Whs96yoVqVsFqRo+G5742McG3Jehpt7qBnJ3l31lQg1oGAblblM5
mGC8Y00tucoa/UhRdqkFIxQnjc51Tt5b3F11c/HGepCk864kJQ8bxRRWh9zJHBRa3Q5gok/0HptU
3Vl5M472TEdjVhkEZzvTYQ6VJ7eJbyZpss3tUlCtjAJqp50Dj24b6gEbWS2EiUoEpS7r52xiYFcC
TbGMZt5EE0nLURV/bik411OlWX6hTVtbSQ6Cs32LoPhSVKZOwB+5v0nTkBAYm4HRvPX2pO7szPYC
Di0uAoukbEd7U0YQ0DDWMFr1tAwJ+TKDU9+7jaucFE/sMqsBe9ruKIsp5OD1pV3lrK0IYwok5Oll
KpjNROYXx2pxdDGsYEw1P5tNdbAi82VU55uaiBYOs2dZhQ1y+viNDfW0YRXnBexQLzkSwYwSfNWY
Wst2R76OLrMM4L6ci1W0SfX+8wSEb8WUf+MM2WdSl/nztKmw+gAr/jQgMziN8IUXtOoYbTu2IoKS
dzK3/Pz2Lgc6xDVuJT3qw7xBPtO5DhuznNPAR15JHBFTEoHsmd84ed0ZyDDWEgVeJ09Rk2kVZkQ7
FlUc76ZBvZr5MODoTJ1tprgS8jVpjxDDD4aRGmuTxsyo+Zo5qZSrNEKv4oxqibxtQKeNMJGYUg2T
EBvncU82kwVXv0wOrjuCZxwsCWYi6WBJQ7RWh2Eju/yzq0ZX9cCym0PqbPS0eSDmbqbWgbEj0ktt
V8lK1x6la013jaZkz4XGjEavUT4b3CBa2ABgo2ZfNbaRBYWLF9rsutVYVFi7NT6zDL95bnRPIVGd
Jasm++GSmyYb0BKHrjKd8TiRe06qVM/VveoFQmU9aT81/TJAQsE4GM2+sPFxm5Z7ANRjHbQIKkdZ
IeImzbt50Z0aKX9BfA11u70yk7pbtIXCT/KmwnQtchJMZ/VzrelPpMiHGwbH2AIb6W4hRnMqZQIi
Y45qulVSdTtkMDM0fXl/Q7BRsxkid4q3ZJ1fEj5R2Dj6Q4pNKZb81KpibbSoPGokZyc5qZmlJ9pV
Ojeolzx3PS5jX8PteYdmwU4/23RpPG3yIr+JrYRheopmtXStI0IzNF+McBMre1YHzH9KezdncEKE
aGguWdsStHzG/EyMQg+ONHEaGNTVzu7bt8gIY1zBZc+8FoOGRhqUfnbH/D5vU3Hy4uEajAokbTPx
YC0hC4yIF7XS7nGyC+QJ1bEP3dex1LWVKPNDl0nYxNq4ZaNy92+F8LVC0NFU//2w6lx+KT//d4mw
fNH35oYUFeJOoN1iwGebyB/90dwszEmMvQZbKsNmgUxf8fuUCkmThzgIj8wS7/heiM2faC47KooK
T/3qw/qVIdXXGdSf+2s2VIzJFvwcXA36G+Kgfmxt6rI2OzdO4+sa1b67qzOpwN1xrjScNOitIyVU
5iCrSmlDrGbGQ6Ro4uCknzqsQRtXzbXuTtpa5L1Jt901SmGEH5nfp2ogKe0VpsdmGx60OAWWHhEE
EV1jqk/Y4NRmjDlf6/URs+NswbVeC9AsXKsOubCkAEy2DZO347M2rZoJrAInd1LHO4elN74Q0uJX
xsi2aFdHDWKKgjS5lV1L0VxF5nIj9UTKOEEEwB5jiouUFDyd8molaBH/ffS/Fcf/+OgfX5viv598
7f2T79CG2zzyNu5xjWL43ZOvYidA3wch+uvm9t121oJ9yLqUCC7WpngJ37X15m/wVzCG8amwUd3y
efmFtt7hO/uhq8ce4XLj89nE68Ws+CfphqNVkUoId3dxWpxbGf4CnHixLnwuHY9L1f0IHFBuMOAh
UwL1aSqHvHX7yfMdqtXnRNf68CoOy77em0lb5ZQgqVSDSrF6B+dX08jrQlaXysiSe6WRxBvBZ3I2
aTvDwEDO9WIIC9JWQZlWqaHO54McuHDCbi4StrNzvCHgo4382hobtOKhkqdGoHWOaJ/z2E5xg41i
1sfZN6DRJQSQF2OiHfIc495dNNOfbpM6XDbNiKswpUWqnzhFhGicTRS2wHSrZIBcZB1qXIy2Fsix
nrcqBr0PzBZ7bZd5kz0HRttPEQhXbx4D0RMXweBjORMKs1LavVrN9rmf2pitnV7ad4lt40cgbSEN
bCIetho7p+4uM0TjBbZZiatRt2OdNTH/DRSgfJql6THUrqMMJP4Yl86+FrQswb8f0W8fUaQrf387
ncr2P/+/iF7Fa/sXn1S+9PsdxSeVm4huj8vIALL+5ydVc3/zTEQUJqwJ7gft3SfV/A30BNgKIr1o
MJde9Xsbq3/9ENsq8zyazsVE/AufVNrhHz6oLFBUEBQqLiLoSyxtfryjUtehqiu89NLnwWxhVom3
Zv347hdz/Rc6sp/kuEvL7S4DPhQ/CMmpNfkdvB/y1SHdrzWjz+jKNBF+Cb0c4mNDBk5o6FmQGojz
S1oI9MAu5JYqRrEwh8eBLu9WreIbkbhb3YqTk1RVWlRNsdaaCzRNaIm6ViN4ynq+74cY3T05B712
Umd50076uZ7L44iZhPPnoKYZOZvDAiBTa4bgE+wLJGYT/bH3Ba0ky0pC21dph/xWiP4t4WxYoZ4A
aogUzWO5w9ePDkQFDDvY+qUyA12TQFc7pZ0gu+voLvu5RE/bFYwtdfNDaHjO1hGW8aLnSrtCzE+9
q2axHcR9XYmgnPBcwUkiKdPN1GkXeUTHI8wvOoaPhnuxp3aiouwzZCM2Gw5IqpXhfpj12vZFrYtt
o8xw0bVSkiq6rsDxYzDsrbybcGOPlnKFBFk58+9XlBakaSxRq6VSbF2KWt+GfbDylkO5cdyEmHYz
O/RjbbvXvF5rvFhT5LCinsqhhBFnkBTVWON1rKV0xtHkHb3Gdg7E8UbPDJnNR3wMnPECnD/G3N4k
C4oudQ3wRM7oOAaaZzbh3kNZusbK5oQLlF5dnBRjDCguk0RNRNN+YAEDrKQnB4vf+YnEoPZjyzxj
nAbipkdXX3l1slcQOwbcigghxCBv54HWQsWACSLfu40mCwllGie+OxH4VVasN8bMZLelcfskj24O
JZG3bvDtOpnBKBQ68w7ap1GMycGee1h7dGbbrhPauiCs6dLGg76wt9qtbQw7aRakAI/AlgA4aIGr
5GdS7c9D00LwbpIbs7TYi/UYp22xKxNo95GhXuNlues0Z3iIhtF9I5CaEUzm23K038qk96289bOw
1u5Vpd9EdrdBiJQFHgksmUtjNNIgtnb1pW271yJpXif0DTWWNlRFB2/MNxwgzLTnLb7V8+QOvuF1
Oy7504xTO2qGT6rVMylRNgKHqtHUq6afPheYO6Lyc6j2mi9tgeNp8dZm1vBs2cknMdtmQBRPe6BJ
jlDLzyc9R94b6WdWn77ss+eKt6/tgL0UrhNAAdhEurvr1fl5DNsgykPs72q9MsKI+LS2UPeppaW+
NtFzOc41P+OthU/WH5M5YiQStmtzUJNzbLLrj0P9phNs8WTdHSN95GHutK2oyRTLQoenLJ+OHh8i
FXed7jXslNyTWxkngJ2PytytM8u56/Xopqirk8N/D7p3yvvhJvYYyOhVoIdpEkTRiMwZd3/K5m3d
NyUE3Ea9ZEr2UmbaC4X2Ab/VsRTuIe21m1lqvtBBpAtxtkwChkQ9HWfH2VUKdbUbT5/rzNn1Hq6c
huY/xpg/zZJcvXna1zPm6w6eZD6F7GDjQvhTJArfGo1sW3vVNmyJOJ4npd7888n7F+sVjT4G3oSF
WI4/dX863+NJy9vJFsmlrDN9cRJPgTNMmY80X0CnNSTg93ATlXHOuml+1aq6vanrTL13Z/wD5Tje
9k16UkdSGDwHl2a3hbn2hjksQltD0naUItFhiLUpZ55pESbrMgTDLFOW6GY96L7jdruhhKnpzP06
SdsPOiufgMRfg8A34rdFsZb1uh33WgX0rAuLrZY2W90cUGyTzJg7XyaR3xH8fujD7Di34lD3+smp
ypPb6t62k1Ppt1Oy08fYWqMWX9uhUm5iM92C4Xb8Vm1vzaknryi2D2rs8bmmWiMEnjCNtBkfsGbB
VLDpafRJvzIxNaEzYrE+Jtl5qEilbNN9Jq2tJQEPJaLehwVqJshuiPTcaKN0aWBF1UlEiAucQr9K
8G2JPt9xr5EFX0HFLaeWpXVzlaXiltaTSQ/UJd8ulITFvroKGzAORjv4OYKGVYMEBqcXO5Yx+YjG
kgwrHqaRB9RlzoiQ5gv4XCo/IJym9kyEkZ8b9hrN5U5yDhktLbXnnNQa60LkKV9CzZ5XFQtj5h0j
a90coX21nGXdKWGLrasCcToJBS4TKhbL2jptpyww4+gKH6MG9JSVj1kR/gZxrf+ABVEeic9ozqKU
+f6fH9Vlz/e+WV6UHEiiXUd3WSzSnf9YIjD7kWMz5Mkl7BPfSA9QBFb//AqUTO9egX+SVh9Bi0vP
9FU1uvQs7zaNhs020fWi6CJspE72VdInu6S6bUhJSRsoGHa98dJvxfHn8f9Fr+VflD5sHv7Hqy4/
97tX7ausA3+tKGd1Ku5YhLIT4P9wKz5FJrUHjsp03bnWox0a+4FIAjw+uExFIcu1SrzWumjmp1Jx
TnAR1TWBXjh3pfbJjU3Hz9X0AZefJI9tOjrCfLbDbDxowrB7nqaiDPrZKQK3Umpfq0gCJxhu2vej
Y3wqCzwH7AqMIEmSz4JnNahV0A2cwJPfAT1YD71315uL5VbJHhgQAs2OjOuYZFdmb7v/Y+9MlttI
ti37K2VvHmnReHRmVTUAAi1JgH2jSRhJkdH3fXx9LadSSpKpK1WavcEb5OTaVZIACCDC/fg5e6/N
pnTd1PXaaga8IoD3DDVU6OdToaRDnhO41qlLaJ606gZIxnY0Xuphzngy6peVEVgL0yX7velfq2aA
OlJGGE1wVQziepzjO6Eme7Mt6EsnFGuRD6IkbjFVWVh5kjk+oQHv5ZOve0aqqmwwCausetdDBV5E
cXbmhOMmr4dV789cweoqaYNsiU/LK+LMWZRz7Hh16p+VmIkCZKFagXPWCcYrzn0UcKUCYQp8r2GQ
0DHb7UYpI6bDXfFoBdVZrWaSks9MemwXjbZHgaQsetPY2vRwvRKcVT5B1fLH0evr7oCAU3hxae5q
fJcOHKsl5vBFZYpNUIpTG3vqry/xN0fGX3fR36/xTy2nAWxdj1JQOYtP83NyedeYTm8xNu2wc506
bD3LZ31Y0As+y78M3xJw/uO1LvOlfnKD2eQVWExTOf1/vNQ5jzp54gjlrPTMRX6qL8s1/Sc8rHf2
Gp3/zVFZnt71K2ws/SP/kx6mU3Wxj9b+AZlz9pu/5uPB5tsnYWBgAdJncYz6bB6Z1IFRghaHB/wW
pZEuIvWu7re//rg/rll/f41PIrQZ+7gShqSGFNVLUGMNu/j18//0PQCSgBBIE1OTPMT3aweRzjOz
jorNWzmvMJnVJjXntxXqXxcETtVfHN/PXurnl69/P7nLR30/uevQumiimZgc3tpl/OhddxnrgSVc
6BraG3jre3fZ4LgPdYNmGkhkYoXe99isPxCWGLSXDXKVsFX9ox4bdooP95t0QGCn0GWPWfbZ6IB/
vDwMRR80VCbJUVNFW+/dNipVQh0yodxx+LKlirjOJoR/cXWhyXRTDslcs9txt8P7v8lz/Ecsv3Hr
3IYTLa8y6q+xcNQnKraK8N4nc35htcwUJ071y6zxj8hoYs+MM2JEdJMtc8gui2Q6jkrakyKtP/o2
BH2zTk5KdT7PLYyItl/fEjO+Kc1iXnfOeDurw1ertC9xP/EExlxug9HEr+AUW3hdFwTdv/YFUIws
zix8mKq1Koc2wc6anSvCwNOgThT40K6g+V3g1GVbmJjLBBY5I2PtbHuL4VeWoHmz9AekKeNiKJDO
YYcABF9U/cqlet+WRsZxkXMvDCffWmVVeN8lVevlZglEXUqpZ8Q9a/jtODoUA9vGYLXhNqRrCRCI
gzbDPKZwnBmVdIvyEC+ciM1No2npCZqA4BJW2Xhn9bQ9CzubQXRE5jGCDrMktUE7IPPbV6PQz8O8
QLXTEIZkVew1BAc367DItBDtES+tx86d71btFgHr7DFwpXTrNWBAY+I3+xhU5gXiSuPEKWu8I5k7
NQF/Q15Fe2ErFnA1wBvJWh8S9AF2oj1plSE8oJMLu4rjsxBUEjMscikl8IMJJQLTea2a2YVgUof5
cSoY3dfJS1p0dxX+l0JVAy/DEZO2xAjQSYaarJzB9uBCwj1jlrBewnxf4qrRleQ0Hug5VPhtDGm8
aaUDBycOzmN4zGPXMmi3k3MznmA/MOk3mDqbYTyfaaaKajYZGI1IzK8AipZM4a7LfLogfpHTCtGd
VTYHz/OIadUHzbQoXVLrCwaXVBZ5uERo8WyqSCdg5yXLUW8bzwjHVae1UsJ4A3V/ZMqSm17U9/ES
ehcgUA76iL4yz1HNYouaA/+wE6zGiN9krL0INXdlTyWOOlVipEw3WWLf6DcT7GFPHVVgOzSok9pE
JFVybFbV9sTCVbhszVRfRRL2okJ9sST+xYcDM9gjmBSJhvHzxl5U6NNcCY6RmWiLBpZM5gdfAaOQ
oaCkJBaDm4kld0YCaKZeX2kSSdNJOE0hMTW5BNY4XPqqRNjkKjlang9xBNM60RwDhZFdJHvixIvr
t2Xz3/1DLtz/uf179lhHPxvR8KAf24fUL9m0fqk+ACfI5/uxfaBf0g0WbZNdQmd882M4aTh/GLgj
6RODSPhT9fRdv2T/IWc3go4wJxhBM/WfNH4RI33ePmD6EwYqdCH/Cp7w4/bh0Fu2LEWdj0YW3lbY
1ZYpRxMQNBXnhRkGXWVtNGh65qRwKHFvs4ICW+0IRSHW9zp2xJlRtLssjldV7/iNZ9sZqo2IbspN
KhXNBdLmQAGQ2A5R4EIzipUnnVE50mINwvGJ7ffQEEwJyrFSO942pI6ssi7uLlRkEF7RWVdDImvz
foLTT1DUmBteGUINqsbiepqUW4BuN6R7dwuVIJqlWg87S5mOYeTsWaBZLpvnejZQrXPLBJBbylg/
dx3lVu+b3AtbREd+K0/5EA46P3+dakB3oa6twcEFHhAfY2Xq47GttUdA3qNn9gYG1SL8Wg3Z7LUq
LSt3dFaB2g7LsgChmECjJI9KEdNuGAtliWDkROvsI+lXS3y/JzN3LFMxG8FLSE9M70/qvrwLVfdB
AWdL7xSOHDDb1sxuk2hGGxLPN209sDlq5UEDNJ+VxatOQnpfR5duV8oUPgD2QQapZYKx1J0oRf+q
wsb3VGWyYQIYsPBY4haKAhzGSBNgSgr42dBagqLSPV/nRGJSth/1qZyWM91oonsGYolhZrYu8Mci
psmaqZOyckgfWuYjJGEmfs/hFOxzA41T68ewJUc6pY6+cy1j23U1lh6UnQZnyTPUvVWJg97qsg0L
ITIeM812Rlsvm8YkYoaNxyjYFcOc4BuU8Qmp3Ek6KpgfRi/Ox8fAKoDtdowHCCIjeolQczKWmfYp
jyr5A8u6bw10uTSTUKlRnkC/5YNdOWrT4V8LrdN0MLYlPvwr9m5x0FuYNJoe0E223diba3hS/YhE
3UrFKu1tz8mw1NGbIXie6x/qkbOxFbFTquaWQnGrdvrt0GNYCsJG9dpG1zi76PFpmaNQDlwmfaHJ
du/3MdyAMRZsX4pMZNTUQzka+gUmN3sbJf3GBW+JZG+fJQ11S6U/cowx0TdN0dE2MENTpawnJ8MK
iOVLm6J0aQ75E9kRa72P7gsoGQzbk1UQ8n3G6ZQSBG0t4C5v3i1qP+lffDqBEGBBwSonwpBn5ehY
lqDvuhelMfZJCofomGY3ifgK6eG3jZ+fvARyDAupJ2ukqr85fd69xFQGY0P6qziSBNYl51N5nbv/
xsJ8c3vpv9yjztPH55f6J2ec95sUZxyVHQDymgnJUDKIfmxSKGgcwdwSga1Jr5Tj/nefl/sHZ3zO
MLgIoZKg0f1rOgmtWGPK94aO4GCEc+AfTCcRnPxtk6JpRw9bHnF0E57hxwsQWSvCOGEPx5YrcSla
xmU9uJii71epGxwzrYqfi6jPIWMY10ZL5l9PTNKVYw+vSqiu2YEFmVQKow6nAsqeklFhBzLu3H+q
g0RbjqldQ5XPLwUcq43qFv5mIKbJyWjPAy9+6ozoyurnuzBrLcIh2m6hl2I50i/fosrfGyV6+szG
LWm4+RqDzxWvhcwT6Fc9dKGnd+Q9xg4YRZ9hPlFIN8KiuM+T4GvcOGeQOy5UMR5DtJzo9HG/QsDT
Q1VdCweMYUwXfNTtYuUwKl7YOqtfliZLP8BHxLzPQFe0467CJVrCsAspgVG/NqsEVNuqo6hdGQmZ
kUlKXJ2RuVg7xXXtAtFHZtEZxqorGw4zVKz4iKfdrLFctXnogBCeb033a4bhu9ZBpDZA//v2ntFO
hF2ZRjJCSZBlExEdVg/i3xynl14FM6nZa9tQENiq4W2gMUtlt10CBawWAjVeEM3bWLePQ0TcNLLo
oKhvC8V86jq6l0WCZGL2JMOnarQdvf4LfTJyqYi9dPiEfJCDuNfq9ZCmh1q4l1akPiXjzNgOB8sC
dRjiXnu4yXTxEDvuQS+B4rQ9uYWMgxu4IfaJFjvXSmqA05nV26iPSe/KY/zW/k054uXolJOgprff
gP8QSvhl7JXr0uhOx3C8xAK7Vi3lHlz/c4oSe2FCZVzWZQDjX8IL9aZ6hSN8pXYovFC4nPE1nQ4E
GFUSoCxetdJckRiTL4ZuXpd20aBBia6KMN5asYNFOLA3c2xDwsyLL0ZuPUDjl7E946PoBq4vrYLk
JsW9MGrxeqdf8V7fubWBBZoZiZZae3TEWGPar70ChkAPjWuTk2AQRWDr/epcUzEPkqQyeqhUw0Wt
wO5Wws5ZTMiwsbont3HLhzTnnHPNEOmsyPTL1ipXLumFk5ohKGnavNwj2QkOelfcjs0DoxCDe+4h
g4vFGFvdhgFpBXMrbopqkkrq2t35TBw4/zYjSDgS5tRuEHQjtHg1daG5iJTy1YyH1j0dtKrlJBv6
8bRqs6Sab3qzkLUCs9LGBeidiKvcN8qE0EPjNhIxNnytu6KAZqudBIUhnkN36L3UiWMEs+5mKgc4
wTDSvHao031EXsAq63GslIPxUPRmvAJDUi7SkEs6H1oKipFkcDpBSyXKvMBxxyunHK1FEYbHMZy/
6u24iKrA8Rh/rFUI5zAywZOiA1jlDOa9hFlQatuHURAFV0bLGehiZBKs45DrhAhwbbXtLmLyXROH
nI7FeRp1awzm8JeV5qQoG8rGvt2LMGc8kYzsteh9JkNjOsj8Oa7Px6q7cRN3WxsiXwb+8NRY4hYm
8X2m2vQJfBwvqYHbp5rntTVEt2Y4ikUxI3l1DA0qWO8u8sGAVxGmpyqx8/xXnSGXnOW35kOpWCXq
ZGVVG8nrNFc3ZWzfllV0ltbiCaoBs4jMPlotAIquIIaoCpEpVwOq/TZQJCjqSR3jS0fPT/nyKhJB
OHG2iX2T9Sis5xRqgDk4RAvSI6elKQCfuUgOk8rDv26Sq6Gc2LOcs4ORhli2QDB8ycx11+naXtXs
E3ocp4mZ1sC/7JYJg4Vwo88QdUeE5XY2HQyRaTN5hO2LguhsXbhVvG47F1J1qR5y31WYfHbTVs+1
PTzOR3IuT8NkvlEmQ19o4/Ss9FV8NdEsWtbDsC0bkS+yyU08O6ieh4ISWKnxcRVZfhM51klYls+E
kbbLQFez6zGvt0quw4/rsqVf8m2QV4vaGCar4zssG8POzkofOUBHIcruULbPrj6Q/J2lXGtN1g3m
IlUDpd7XqsYwTk2DfEV6W7MmsZE4Dv0tmuPfU/ubaMugFPnPp3YJeF7Xj/lz1Dz/jPHMg9+d3lFk
0XhHHYVH8tPpHVgUXVcMi38GMnwvjMisR5SFM/6vR/11escsJKk1MAk1S9ZM/6Aw+jh5oPXLy1PR
A8WSTypk2fa+LjcZfDmxX8/Hub2rHH8hs0nefTA/qfzlM7ybJL1V/mgGUKsDjeQl5F/wriwnVsQq
x9LQjg2nMRJHObwtGvNr/w9nKH97nU9dCDIly6oGL3c0pWS5Ph1suvY/vuGfvBH9JwcMPo2/3smn
yXKgVTknQd6JPqKqEje2+1rgBneVo9v1K7oxy6Z/KLttF523hU/+zkscroPgXC8u2vwqGKSV88Qy
g5XjU4+Iiy6+GrLQG93sN+Mkqff75Wcui+F3n7kRKT7blfwsjJU/s5qXdx2KhkITx4H9k4BPytxX
W0FZw/91rOg348M3y9rnL51qWyY9YtP/Nsx+9wcww9TaXrWn49THkbbU3Do9TYTO+j2Vglg90JV5
t4sdZ19DFjC74VJjNaaOwi7Zq8qMpx+Si152ai8javcDGTv1Js3u9czYD74K7B4EknYzEuOwMRI3
dhbkb0AaiVd4OXdlRxhOXwGPnLy+nTbhfARjsMoCtjIsnJ01b+rRPc/0c3+O134HuZ/AC0bRgXMG
gJF5seX1KAt1ulacapc2PKYpLhE1XReyq2WRRjxXgA2gG3Zad2qr2WrgHF7dN0QLT4qxqIb8RGvF
Bd3xmMN0n+vFTWamixIzPCaV6xa3Ko3+RdyPAYTCQHj4ZjAsOZlYFUn60CpMMrMZXZ1JRywhf/DX
F7PxUU7wtxtffLpdhsglOWFs5qO6Mbb+bj5t74yNs6uPzUI7bbfVkphzz11Oa2O5r/f0xL3xQdlh
oNmoGwvSW3z26z9I3jyfr5j3N9cnUYVAKGln8pItkh2dmnwAlLWo1pX6m+Xo4zmQ8S2L3PvX+bTg
OVEGuBFC9VGh+X49fq2CZUQkse5Z/m9uAu3jR/ztpd7fBJ+OnC7vvzbcSD+GEPLPEzijlAXYjBoQ
UMvgOPzurX1cy/98PcTBCH0RzJvup680s7LRttFgHAeG4vn8RHjJr7+jny2ADI9/vMCnzw4OvJ33
ga4fURl1ZrIYFPRWyW++oN+9yKdV1h1JEJ84w4P2OpmrfWtdA7H49fv42Zb0/n18Wh4n9uq6zkz9
qHNvj2BXVOsS5bIbjt/ey3/3TOMseq6Lpnht/7d85ueinOooCNv/+/Gfzbd/oxfyHtvHD/9YYVds
p4vupZ4uX5ou5aHf1BbyN/9/f/i/Xt6e5XoqX/7Pfz1+zYAMRE1bR88t28u3n/2VYmFy8f3YPOWr
/Pkbh8eMR9/y6139+POHfS+MEK0jVtdRU8GnQLXFt/C9Y6RhvrZdRFamcKVx/91YQ/xBkABdHMEA
g/GcjMz4XhgZfwDF1OkvGujE3370/WP4c3fnE/yPIpSPlyHrI2NmGkakaGE7kbOyj1voqCpBX9d5
d8CksZQUloDjbOT8DhlKvfdh4Xt7IVOnPUZnlF4Xu+XHF9LStq+sWJQHtTPdmySsFGuZ2cift2gJ
ED4bbyLohgTxKxDywQIzj7hDbh88lEXM/ikV1BoHg0X5TVaNwNp4k1pbb7JrAL9IsPs3OfbgV9hO
Y61AxAxbHZm6krJYpAQWR2VZ6KtiSLsex3XAhDRq/Pwe5BApdM5cq16TP5upGOi44BARnQpHGaVl
itfXHw1SAeHUpA2pHcS8F8ZR7QEYn/ZpfKwxNMIhzMdl6J4bmvpiNuXXvArWfqNe23215Ti5MRWr
2HAI4vRaRiuXHFU3W5ljtvOnqfKMhKEwkBzQ0tVr6ISXcykOml6+dkZ/RVQkm6+o4weboQcBP0l3
RuxVfaga09qnkXtWuszo51lnUVQU41XEDWlBfsiBrq1KeZqvFlGqmCudQAmjdQ9NTqt81pE/02nS
N21u30yacp/qBE4WcWjWi7YNsH93BkL9gDysle6o0Qr4AE/REkyAPeemFi1kacvJw0uOosoKUnW9
ckd1vBdpBAuKhgvCr6SDVaTUkxeb82VltcQVK5p2eHfv/Xlpf8DvftwY3i4xAbmFekxwc3BZf7zE
qqlGEz869YGsiMcBcvPVfIV8eFEtEQSAM1wg7l5lG3uFyxVNl1gbK/hty9+u7J/2XimcRIHEqJAu
sIrc5NP+gQ1i6AJsSAdfD/a4JsZlEmDWLwehLxwbx3jV+xCNdQtRLDEgZ4FdY0vkO7KSKltOMLdd
n8BDgqS+gDZ2141Op7JtS7LX5i+2SQJM7Csc6efxDjQjku66gjfcQLYbB1TkGBwz2lLjajJAQmn5
MvaJuhCcembTBV5AF0LXN8w3NXoZiNsjVzBhy7ekdHgFcpZFgTxjgIuk+wzZcUgyQENUm2UxmVKk
ng4jFv0qiJNFYwQ3AX5zzcjOutFRAeKVuLa40Gy3Atulxle//oo/LiIIyFwOkZxMWC9hrBqft353
1gdabH59UHsKYhYCWjm1mtOECld0wASdloDl+seK/rOrSlZk7yq2v73mp29TGXu77pOgOVSB8WD6
NYzroPDmxt6KrCOz2AejZSF4sIlvNlO4kqbIJ5wENHodxTwtIudejXCJgmR8pTG3prA+w552ofrz
sxlUX7IhqrwK6f03Qd9/96a8eSnkZtZ83IT/J+/J6i/3ZAabXfOTLVk+6vuWjNeZbZfGgtBZKIQk
lXzfknXcYpSYjo30n71Xytu+9yrcP6RJFCcoLlJMYO9hffjSdK5Hm4HQW+bkPxri6DYv8u6Sk4cW
agUH7anc/mFHyZ+/O1ZyFweJAvPzmMylzaTBKjLjiWj41j/qKHyy7EyJFR2gu50ulS68mgQnvsQi
iZeTO6w+IPJQaatk1bktnhMzU7fqgBLNGY162fXFIxZSRuxm9DhXzYgkPmw4hlhQNSEB4dM8jyv3
tgzgDJQZ4P/eaVj2p1ndRi6JvEmn+VgAEuiAStavyGVJvdBqT7q8dAlyiO56zQJ+km+sNGMOPXp5
P2P/bIdFr2Y4UuLiAlT8bWEVu0ZyJ6KUpAG9BU/hVgx3o3p+dOP6wrJokncZgxw31c91tU3POjEX
aycxc0/3od5zV71il3lEAgG4WMEDNb0Mo256k4ljQjECL83ys1EXd2WOqQbjXolmLkeNbGAQSEoG
S0ahOCAG3Xqp9eOJMUfxSq/nl87x1x0BU8BZNpo9rpsSa4XRrGoC6vWY9Kk2pble98ZL65JIMJCa
58KTmI3TnIJmNmFhdYFP2gVNTzT613jvCIxIy22WIJEq4usUUEVLD7+s1ZNQQeacRQHNgOyi5yvt
MhGu1DGq801LT37tWOVeM7OnvAmRAIKhAnp8mvdATkTq59aeaVd9oY1q6X9BmB/oK7hUQX6Bs2cq
SRUjHjpQE/Ue2zDIEaIQnjEerkdJI4nAkoBUXJPbFiwHSSwhbOmlemOYSJpJ1o/bdgoPIvedlTKM
5ByBPhkUDPixMz0g2bxu5/FC67UvBrAUFWgKgyJ3aUmOig1QJdLH/SAJK2kIriVqoa4IJkqO5LCY
KkmGgFl8AC22JLV0IFsmyW4ppWc+CJyjL7kuTji/MnD1upB4LFOyX1oMNNvZftXiQqwirb3tJScm
k8SYFHRMErBBmcBkan8mExi6TC05M0oRPgf027HPTfPaGchKjfE760rzQC23LSSvJpfkGgeETSlZ
Nq2k2mgEooyScwP58XwCfFO3KjhLSDgxSBxisGl0SUpOg12au5m8qHqbSo6O1Rb73GwGtH74pSRr
J7SS1wb4TgmEp2/8UytFQZNM8cHR1ZNS8noswD35kLKnS5ZPLOxFLek+MaayTTVmzEYk+0cHAoRy
/GFm1Amwe6cCCTIkLWhWaPUroYOzCJSQDVJoJP1VBTFUSdZQCXRoHqsTsk7KEx8ckTX6G+SyV4pl
7UJwRQqBE6FqvZRiPmTgjED2dMtZEo5KyTrqgR71fbFJgCAFXbSpJRUpkXwk7h7rSwMyKZTsJP+N
ogROKQOrZLVNsnrbk//d2gwKnh/Fyd+Om7Ibvy8eq+5nSjr50B/7m/oHFEIN0hcnLnYRfvRjf4NT
61gI5dirbBlV8df+hpKOkQDMQxVZCaSwd0dOG2UDJoW3J7PYG/9JK55d8fP2Rk+fUy0CCgGNjO7/
x+3NhtQxjmKqj5PSW0wV9U6jC5rnTryzujA/RoLOWwgP3IJ/jQ7AvKgkEnsO1EvDF5dJ3b1QokL2
gp4d9/1JCE0brdlpgjBKgbKdQtt2oG7Pulx+4XAz2j8lXyZdGBC60amv/cA+bSB3k7t8gYvlxp7y
OxMUNBEpL45wFjXEb8jNuwQCeAgoZGHBBDed8LaGEa4I9YKI4kM3QdCGIT4y7Gc/HEkQmzdmrS2R
792YFUMw3tEqrYcnyLhnvktTsTa+GEG66eGV5761Bihy0ovq4MMzd4sROplAKFVCJUcfUVRnRObd
IZjchpyV3GlaKIT2xlqMvUFbYTjyKvjpodo/wNc/D8PuLCB3BCTtRsBbN+Cu13g3YfI1tSv14YDZ
4TXuZ0jtPhsUEqK7OO53SuN6PUT3MJg3CuNgbI0Lq6yvsFI3cCOjozT9oI73NNjwJuTbeWouM6d9
ymHHwys9hLDke5jypsyLqqdtVzXEzpavdlwe6JmvZt/FBysu7dAuKYnLbStx9SIdzhIJsNcmPDd+
8mgU4tKFcB9GLKR0SY8d7PtAz7w56Hc1PsMGNn7sYnyElS+kKhl2vsXpZFFB08fJRUyNBOzLTLfI
AblvSfh+OnW+V8Djt9/A/NW4cUpQ/cFYEvJXhosMin/O0CjASijZ/s3kDkxG35j/MdLoHb6qmkSm
eUZ+HL8FyRIeDFRLIyyzH5udqRTqpqgw13P4uUyKttznVk0+ZcV4X4MfcTaacw/nFrk4humCEMwA
JaExx5e6pm8SXWUwQJ5xTMKVR+lJsm1ESFKukwbOmmsv4pJw6NZR42VnD2Lr98iwG2u6igQtg1Y2
83yD1OW5a5m4lhXo26C5cdikVonFfCBOUdE5GNrn+HVgt1q4ig7R0X/GV47jWxxn3VyLOqGPkAxe
MhALmfov0SzOHNBNCh2C+KzuWiSCk+iWVQk42bCCVZQVF3qR3Q4dPs+y59jjo4pbkseXYOASTwFR
VAu1pvYom6rzGuEeolqqCMf4q6tgc+oF49++p9eQ6M5LUJIWNek3SOte+Psx7hdqg9Act7RRIqMN
M/xoAP7YmBMmOz36nTKtPcOJjn2Y7TH13Ypxeu1sFWiWsxekJq1HpVvRf7ylubGiNVIdJn+o1vh4
GXh0inVWpP4VQDRSp5D9A66HvNwJ9JQcme+HeOZTrrKvSiH1JpLYjF0/X8dAnH0l3cSS6uzO/cMs
AZ8pwGdoq09II59G0WM8GmFCk/K6NSQl2iZYIaB6QDGgozmHfVcZ+sYHLd1KxjTLFBoecxcFJOh0
YKinwODJFfEcSUK1BZPE7donhR4Kvnustr7KedG/MyTdenLRoVD0L4UEX0sCNtYWVKxAsUNiRj2V
4PnVKInZo+/fYwDsyJv1ba4vY11JvrbrDtyikrldFNyWNegk/jzjNVP1cdNLRndHJ4jYapSkGfju
aLb42/p9Cdh7zLAM4F3EYG5ALVUPYdvf5qq6byUTHB2ki2gFRmMHMDwJ1asBgLiZh9faZKuLHrR4
XpPu5YgBcDLY8ahztEU+JaR4C44FWWl7qU0teBWGZL7VQxOEFHFEY/cVXkOFAPSdgG8XpliScxXC
ojojBwC4Dyy/yQr4kDrR6dMFhxh4c9qYXkQF48F/a5E3ZYDcln9Zi9AMXzzWT48/a4DLB3+vRuhy
AyCE2cJhlrpDpRz4UY2of1g28n2AyzqtYUHJ8f20bf6h0RcH2GK5DiWJxMD81QCnJW4B9DOoHSAv
/SNb2N+bhpL7RGkD+ww+syGLlXdnbSPUlAGMvDiE2Ze5OYzjw7uP5Sf9I/FpPvbWloSpRkWFLJMA
J5s3+f4VOr8RLfnl3aGb6ZzSzmU2fEj9+NKs21fU8uD56sjLBCHympLvGAps6yqmk1oSZiMbxgWd
49xGNUMnOe7CtaCzrIBy4Rxwys05LhvZe57D9MhBjHa00beVcQwy2aYeUR4GfIhLk8gIppzFNIPe
V83diL6bDUGFIAjBCXdPZHtCROlXMCmARWfS0UQDZblGaXMfp0rmuYl47kLoGa1mB6w3YSXPx8Ui
0JyjXdrKKnXqe7cOAEPpHK1LIYbzmIz3hUEPeK3VLK1TnZMRGX2hUjvF2+25bjadEu1TbdO82OZ5
O3u1X137ZkowcIQzGfQkUOsviormRxPjK0nWKFs5p5JDjz9OOF5Qtlc2DU+FAFaDzMFEVbZ52e3b
UoU22k0XYwKQYgaeGcw1AZbJvrLtR19DaNViosD1jzYtemzpb2MjooMIeQ4Q81FBxIV3yIOt8dAk
wd7t7G1WmacirzhP6v1ZisPMwvNQlwBspwoEv3Bv42hut3OSntc+091mDk+InHxgV0YRoMR7oYhr
MCmJbBWwj86EGxt5sQybMVx1TrSbUspGMzbNhR9bG7WSOEUZ/yiAzxKCyXcB6TVv+zV70X4kC8UV
/Z0ojOUQmgersR6adj4mkbgMM7QXnU+zW/RnYB13xTTsgjG+C3t208wdtoBgTmHZXFka+XBtnN6R
AnCr+TbG+m5d1HQVZpM86fqLJVoyhVp3oxjNQ8Gb16ds3CjT/DVJ7dVkh8vaN5ldjKclFItFV9Fq
IbqIJ3UaHTyvT3vU/sJdsI6j+CHwpSsN68pa6Toum+p1KuKtAxZCGOWXrlYfFEW9amwcfokfU2G5
S9VMn+bEv0BBOC8wUpyC50o2WlAmC6HY1+HsyrIkXAZREOMZy55cDTOaUhL37cy2CaKyyfdRZM2e
Umq9Z1pXsSvuEfOCo9Bp3NLK4e6JhytVi0+UrnTYp3HMmxU4IwCulyODomU3delJTx8FNx2NIDfF
TYIm1V8NjXUIyJZYRaZ1q1oo9tzKd57QDdMag/RWUKxYIBqyuscAk00K1S0Qjegw1pF1WuF496iH
iL9KSjpASkL5hJnUEyE667RT1FU7CyY6rU+MpmMRiJN19AosUyJUdJQ29UlL9VGKstnlHTUwMKQY
r0zVbDHpxqsg6k5BIhJDnJSgQmZz44+zixJT1xbwCspV0VYFBtAoPdqpilg6VZqLuecd+375bM7T
be0bj3ZSbVnfzuJQy5aupijelCqnPsWrLHFNeo/mSE+syK5wF8GD1Ww/veuS/HLo8UXi1IUUgo9f
J146FhCEtQ6wan5iVzYLosYfbQ8XeQdpseSIwBq1Z16yTY1KsniX5dye4oXahGZ4pqbqXUJ1bXRS
LOOnm3xMvoiYkUgTkR/i+BZyFMAqvojsp3KgHEL4TbSpwIN0nWgZ5qDIIEKyACYCm3kZOnNC9RPV
Z7OTHAy9hDTXXGiV1UCAbBbErRKuPpgeS95O1/xuFRjobtKpv7GU8hoOPs06YLJM7cAgETmSuaw5
HS0vqyCasiXMLFKANsCbn7oanxAWSK8uMW+Q01NPyymx+20fh/0m50SzYekP7/yKV9C79DrPjMhD
c+Tuu6mOSdYKDjmsjmVqG86uSxjKicK+Br1LVSxi6WdFVk0Sie+vzaS6tvzp2snNWWZ8wrPsimZt
doG2sIdx3U5US6Xa5xukyMUy5YGLuje7+zpKnbWMnKBLFg301ETYbgVHjkUylGvDyWpvyooHi4y1
fKDEtqdV1xRHdbL3STXdqGG86iOmt0UZ3nSpTuOzcoFRjf2uUOLaK/yUbBfQhItSVR8IWTA8YxTV
fWeVmlcWOIGSkAvdjjompL5xr5PWfeXr5rh2OsUFaqj+Lvr44/z7DUngWDKyB7ypi0nj0/xbzzJE
i0GcH1rp1B4BP1jDxVA3619XAZ9FdXImyOtgbjQl7+HvRUBrz/R+QxLX4CE1ln7DqnSOeeoLy2W9
GCaXL2BKt/1YYqRKto0enkLRYgb4/9g7k+XGkWyJfhHaMA9bAARJkaLmcQNTSkrM8xAAvv4dZHVV
q9TZkrW9bW8rS6JIAoiI6+7HywNPqiPuKIBp2VUcDtdmI2+0ePAY7rtlFL4T/GPXyy2gLxDQ5O8E
sN9+QgAurTXyuIr3f9++GMVQJb2TlSdBQCGab+UUOkj1jU/rU27lD2VPp3p6nS7Rh2h9+h66Iavn
IgPaXJMUgzaj7zVsfK4cNqwb40gcQBofgSxXVyUAq9mR98LGE1zNNQ8qjeKFtAhiaRmucC46N5TJ
eczvT5Ks5NwlsGEMNaV6t4pOCXPhKeRII1TuG7MgvTfji782lPwl6xH78yjZLqJxYUyBnSOCBxBF
e5VaNVjZlx5PJdOdQYZ6VaNtU+qeXZYitjaxCbdKfQfE/jJZBqcmbNCTlZ/PiwXqyJqlnayI9FyO
a2jPE+og3sGEoltSD0oS3YeDUtw2wmD9UKKjUdRGAMGs35mU1IwVS5xC6HpOrWxTy+oF8SNQYAum
OkXLj6H8MiC3Gtae5+KTLZEisISym1P9KdfaeFPWJVgjhvaaJNNOw9Zj4jbDrc14a5KKXdvDRyqU
6Qwf4ktGP9Qr5dNb2eT0aeUxaiW+QK1rArhLHAfV6bowzRzsnMJwfJkOcN+/cckx1uCq+qy6ckPC
N1odwKAW/37VhZpUgUkzAKIq6ovmdByn6zE/mQQLXZ6nz9hUcM9RLKKYk28nvyI7+TmfCgmHGLCY
GnXnPTEmsajnRmU/EgOIg64wmmAAo7fHFYXVJSFOOdqjvZErnUYnFnVfUIrhc1ZnP8KDSC6qkphD
cxMVyeQpcVexGnBK75k+kvulV2DB8mS+OKvDalQqSpoK9c5UZ/bOkEq1XvHNqsNkaEhAEYX5mNom
TSLqm2lhKKsFjwHED7OcbkMnPVqIFE2l3ZhwjpapJjGk3hjjeJ6l8U2TGNeF5WzNuX8kWqq77Bvl
jdkM7AWBNHQDgxvbYHCigbmD4MrKYUovEteEVzvak6JJj0o8IjT3GDNjS6adWppcaao2it5uZVoF
qQej1o95Uzz6esYB27bFwSKPI5QRsySddRiyblHOTo497btqftEEtHMN+7hlbsj3MM4r/WzMLqp4
OlqlGQgMOLGVpF5SEq51kquslrL9bC+bqps3Zh4ya2RDQ1M65xJuxlFyriDY/UwsKaTKhJnGQCyh
HzKPBhlfpSBMUcyj2cGEpLSQYRmOGAgMnlh3qNkQHyXiJZkiIET20KKTSyPW3SgmAppJh4JVnIDx
zlZyClK6oInc0tnruq8orJp5KIKe5b1si9ofpCb1c5i1qbAPCz4Hy0lqxkKR8DqZh+5C5jllQkxG
4zK0lV1UQt0TzbG0DXa9fS5d5PVqk82tMz0SB/KuOAMqi++mxiQs5HQX1+Jc6jgl5FQkaCAJaPCk
XuzSNDYWaEdhn4opMPEcMe+zxodalhixyOfMw9vNFOpHEHxAgcKQZjB1tLwOh5dnpbDgxIhUw75h
V80wHKjd3hH4BV9RkcchPw7jqVW+Wdq+uVN/OXA/HKDV2JlTp86Gk8m6P3bnBRaoaSzcUFxk7bnC
ieXrpZSD/1dPhs8JRzWOS04XPBmq6l2x3saJ0sxjGT0yG/36hVZm7L+9ElFOTAJoYMzZP1nWRIfb
JaUE7LQoc7Spk6nzklBdo2LVPq5wLmfTeKjrRHYrMp/n9irxmWlFhixdYI7zez04hT+p4r0iim+T
Ph/uaVK7qGTrBpeVy6nH6zv1hmZ3RPI+CsiGPZep/iDFeX0dDdm4MeK43xbGcDCIjbOx2Mxk0zy2
eNuy16wHwhU39ZL7TFLOBo3ElKYelmjeG7VzIbLo0LJsW1J2yFS0YjAmSIMeguhDUbcgNsI9OUgG
xJPt9kbxssiz4eUiemomp31QV/lfxeHzzaf693nLPy08Hz7UT3YaXAoAOUN7OtnTc7z8mO0/ys3+
o6Hxu9//aeGQJap7TQBvp8S+qVPHbbS7by6Lr68K89M4B/txJmdqNJ8M9TKhfZ6PSY7nP6aK//Fd
rJ/C5+XPhLoHGsnEnGl+uvQmqxNxp/MusBeo/WsvCvYkd8lkffNtrAHoDy+0DqcM3GqGwlILPoOd
Kf/+4e6d06QU0VIjmrvKK4uaf5sHoU/+y028B7d0H/amNx5/XCdefD9tXvLN/IM7uttp+68/1bWV
4MMf8sd18XHB/7QBdKgFq1dT46kP4MN48ma6Gbb0VwTOxvHyNlC2fM4B9bkurckbB81ho5/K16//
CuN3f8XHW359+Hz4OPKww0DQ8rk/Tnt1A18zcC4t9wITTOxvHwzvaPrF1jnFwbSDTri7DX0g5jue
e+6ypWik8xmd+Y6Pl2FXbruLmJwkzfD3lCyeqKTcGntnXx2oXrsrgpuv//S1oOHfPsCPf/qnD1BS
uySHrcp16cL3Cbr3OqhvFZ+gox/6tOhswO2eVdvL1+Nm2EOdmrz0DGXhLD3RC+OFmA/dt9C7//qv
+nec4+rY+9ftbn7SehMm7q1l8lfFe5jz3rIDAX1b4gJCbnCp7Hbp/3Epkzw1O/WZQdrm69dfL9+v
7qNPTxseNdLc1fN0kpdqYwlxWKTsNA5y9c2itD5VvnqdT08d2qG1cVxyDK8RRZPiVZ52wvwxa2Ai
e0ZRwdfv6vdf9V9Ph88TZang4W806XCKLWBj4XUdXf3/XuDTmY/609w0Cw5QmXFQU+aAjuV//Qrf
fDG/PAIfbjSpqO3SmrnRqvrUFVlQq48LAeuvX+S7z+nTw61T8i4drbQ/Teu3AvLGmVLv65f47n18
usCGaukGxKb5JMYJJOqpyCZvKS6/fpFvri7r01PJDCNpZjjHajCZnu6UmyzvLzRt8KyZsimhnka4
VV+/5G/fF53UuEhs2l1W+eXjg9DG1RHWST+c9OJnmwaZhhPY3H79Gr/9ej68xqebhqqvTsKXNJ2M
VGd+f1UU30wVvnuBT4/EJSsmLYVhd5J5aDOMpvvhm4/p1/r41Y2/LigfruM4QfQJc65jzgYYzaOz
cZedc0QgTebFm+hi+BbU+alH788d1F93v7m+6w8vqTD/U3o1Zo16ZDBc8lSlidJtXPGiHJf96F4u
VECxdBubwlNc+0pyr/vNuqpfPjWX2hmndgxlm7l3d6UXb7/jiP52If+4dfl85SStkJWQm065WBdy
ye22ub4vFc/Ntrr/ULpnsjsffso/OJy1d/MBXfmbp9dq0v3yafzpex+lzowbZ2Yv4Y8+HMDFXV2k
h9y/dk7mUdsO/pMahG7JxDZot/XW9qRvntDf/QnWp3WP4gBJp3GlP0mHysViS3z/jQ4v3zoM79OO
OMbR2lIJ+BPjnjdts4vIT9+/vrt+Hby+uDStT9dJBuwKtyuXZhtMAWWsbrLu6vaZdzvuQVrionCX
U1+4D8DI/SKot9YlFBZ/2MR7PIvP37F2fx3M/u3v+dft/hm/aUsO2hCBqlOz0bcm7mB/CpZgOVLI
7L5G+zCAELjHoetWx8mz7jZkXfmK+m0W3CT+ukn45+bgfzbCNXz+hXSfvLe/1ez5qT81+xXlipWd
uZxt/NML+Jdmr0B5JS62jrHJun8MrTn/oMsbDh68PZithsMv/FOzh4AEuW8d55HMAVz13znk1zf0
4Q7n2IJcz4l8LUNGvCfS//dn4KLFRaxWiXxBGQwhmmKh40d5rqI3GZ+ggUOoNctjYpPWSoSjHkXN
f29h6ZhKeTE0dYBOd50Pw3PXLR60tmlLy/lj2RrbprautdImTNWQW7KeqFtFIZz6zWJRp2tY3RqQ
Q/qLBig45S35btq9HDn3mgZYppzUT3Ql+KahHow53UCieVli6gjT5VHVpcYrpv4sNkoSUqnlZUuy
64amcNNyeVQiayfijBrLrL+crBhYfXm32NXRSZtH/BCFmxnqT0mUD6T07pGy0FYHIwAoGizWcpk4
tAHwzra1kw6egP1mJ70J7NtmfBWKfY/zLJNm242oFLYaKWi7EZ5NYd83Qp3cup+t/TJkiitC/ZDK
ORWZQtpBRkGc47y+G6R5W+kcihRs/7V5Lerheu6L9i435pe8xg1vNvZZFMsPckHPoFwVXi1P51FW
GxjSMAcYabnrRyklPjMcdL3bmw4ngCY0zmblrSvL5ygc7mbbgNaJtQBPvkDKZ9ycN9p5bunvmgXv
gCzlHeBa1jpZHzFihkHfgTwHekW5xTTv0m7eMrbc1GNyHDo+syjKdV/MUcrwO8NF3Z4AkSvxJrTS
CsAelTWHvkoYt+q13O8rG4JpbzkzslufpnRByy0KZaIzOes6MnMv+diIfdobau+bmTwV7qSJWfcK
tUKUyHUCZjExoHolGg0NAK1Key1jMlZSiDcdth3WMxWQIJNTXyzdK1q77jlZ83NFS7KTT31GWwte
JXxMkYEQttSwnjTrJMWq7fVqze+QoexI8WM+6U+lPQlQk+MNrrwYV1ad+HpjvKV191Odp/elb2eX
QMF9ZOpcCpp2zjBrdrNOPbQg+zap6LWNbowws8hKaE620+P2iXxFH2iSnm+M0H6ae5VBtU4DgGmJ
t85WhVvmgq6OogdRmXS2J6dOdJ5H0il6yke/jAAd4vHTp843Cq6XMvKMbDmYUO7Tqr4CWxtvYog9
tc5M1ayibR4z7NWhdUey+RDWRb41+C82Y9xoaa6SMPdmXeqOonsqDQNH6ixVB8mylrX1gNO1DKgZ
17vkIknAbYwRbtsJ2pbgG0/j5nqYq2ifxdAkzfKELe6MztCfFEC0Xo5TTw6wFrevvx6n/1tXdDZa
X6wrLyWWMK8dFtaRXxnrf+Wo15/8a21ZLehEjoHBYPz6FW3+a20BAauwhMBQJPWLNexffjDrH6pt
/tr8/lFDyWHhz7XF/AeJLYM2LsUibvlfkmJQZj6vLbaM5ssNx+KCF11b//3D/tqhD8WMbLu+oMOu
CpTZbPH75ERLpvIhaTXoZWmruB1jIi/PwBctRr9vDAUMtwy9i867M5H3mlvEKMq9POyiKtqsEWxf
ayvNrUpEjQGkXmqlP0TYAvwfMf2MZbH6SMdyYxUGxQP17Fzi2LozWrt1G6HNJF+WIwfmO5y14KWS
hzDVbgvS7ReWEkrErBThDkDfeA4qyVmRYyTQI7RLanbtjOk/Zsh3RWppS1IlcVs2zo7y70Nak+mR
p3IjddN1o4iLqarzfS41p7HkjtSbrSF3MAKN6VhYKxMU4bSdq/POoAMz6jWiIE4MYK97nXEtu1UU
jRtrmYlzJyE8teZGd+YAtBacZoKlXdsm+zG3npWV6iomwcG1ITCzsPubcGMMU7GLK/KmE2qOn7eM
0ozlOoyUeWdICh/NkIyHPIFoWxjRyamTM8cGipXm5J576S1NcwynDVasqEq2YhEJYTZsNNKIXqbE
oOaGRQuG3L7UImDhqHN4KSB69b12jcv6uureVLv6afHrBjpF+VUsa7HSvcRDqXtdaOEjsXo/rTQV
KYdeYM1U3SpH6+DRT5HO3O3syrmGBVNdNoVy3kzptJERbvEGrQg7ruHtoqq3Ooqwl42OTz70ri5n
56wZUyz2yMFmE57kjpXODrOAFrhDV/WXIqz8PpfpBi6DanIGXzGSB0fvdNwvKjxsWk58J2+CJbHO
52Z+xJcd6OX4rIu53hfaeE30lD3IIt555Wkzafk77djKRUms0G2UGZcepDXCvufOIIXHUWt/KC3F
S3gTVVzJpfkcS4W1aSzamjZz2bGuLVhMILVh361PxL6tszqququpq1hzrTnqYY3VEGgM036za1vQ
+6G5xBWDtiZQpoH7MmhS0sL2ydEF+PGZpHpW8xIImKxlu1Yw2BgMPmI7CrdSES93Wl0prq6Sv9Bq
6wbW7KFX5vc1VuYrmXGdk8M6mMu4oajspMakFZyUOYmJLQaV+C1dagcrv/UGOiRyNXthdRqdzq+U
7goDFB9xex5msu1brajPaG7zClRIKOP6Bhy4zhVuDyv5jJ+YxgpsSzQjAYY/8zq8xMgzAFTrZazo
Q+WZA0t9uOSHRi3lzYKKTlYK7xnWMyssz0Sqdj4y0lNaY5w2zb4/xrqEDVO0xrssh9ltJcO6zUd7
JhuRxxgs/7c6/TIsyywJ/3l1Ctr3rvwNw2z9qT9XJlAdGFxYekhH/dNz/NfKtEaqbMqRZVhPZIMZ
KfzpVLZYzjiJOIhsFiebFfDx58pkQPGgz5hDDx5jBTrsfxOcstbl7++nHvwxNMUarHToNkS0/r4y
ZUWuOFMfWidykWdR34zleS/UGQ25GOuaYoRkgFQoOnyGcRFN95UTg0+sHFIOBxr+niatuyniZvZj
5gKe6IdtIyI/W5geKjK1fhVoTLdy0h/aal7RSiPZzBLqeLkYJ8WhAtnMpSeqrK7LInsQQ6VkV71V
xzdZluwcNoWlFWKQobgxkhPplIWUpbvN2GzaQoqe5rqPL8MwTszLOJ+tS6rUsW/oZGfpN8RaUPlG
WMjlrWlJWhC2DhUIcLLD/qKRuji5H/Sig2GbiYdMdWLN77Jql8RpCqVQbs9Fqp+Jwbg2In32Q6u8
l5f8dtAT1tu4flXBIRHhGn4UPfzKdjWbKtqPuMQS1Er6yRzUB3Oa7oc4MTxNSEdplHypAGoYJat3
sMacZs8YmbvS0vFLxA9qqNlegTNXjYybzBYXaVoTO5aSN2h3t8Wgv8s6cPaOdJFr2P2VhbuTijJ8
zoLfz+mxzp5n8hu46pKdvDjCbxpyJEVu3za5ogZVmQGW11b/YKru4h6vwji2PqiAvRbjozaK2HJL
KuLcTs5KNiRNvqEPE7yuehWuXEUOyGDjdXVH3YjiqTamAmee1D1tGIYrDfKbXLH8DF3hSaGBacLq
tsDoXzBLHEzHOnQaiejElqi1XpwbzJwcveIumELpDRJlkMvTvg558rdgMLEU+HW7mDtUCZTBsP7Z
V1LrmgktGoNUvIrYodxpLh+5pHss66O1w1KcBVxeVzogU3zC1ak3AIDrCw9Tp78yWL7xbSjXYS1J
uE5wTshTa3ipMXYe15sfG9XjkFIYV0X9Wc832EMvh6SWbCeDB74pN9VmKXH5QMKfGuNB6foTbS+3
aV9lXiJ390UUX8c6lZe1POAkNqV9arJlG+P2erbCW1lgKGvwneAGqv1ZEZB5E5q+WBUvh3DB2RFK
e22SXttGin0e19l2NuBALIqTe2Ig+xMZ3Zb2WNwl+rycVbV1kc4Vfg7Ot/gfS80jhtRDvhVHI1Pe
8jw5I/xCsWiXnJsphkDSRIe5GpSt7OQY1IjlK9wAvq6kL5A1RTA7/YXT6o8j0GaPWx328VyQnRsI
7swUVdKSfj0stdfjWl9WxpxlTRQMlvTr9dl4p4ql3Ek6VydtkwKEb/Kez+qyHSzr0RDGjarwDY8V
04i8VffAEPBp0hkZj6D0TJ2dmlzoeiCa9CKJTN+UsusiH0+0lkjg5i2GCGlGQsyhu6TEJJX33VYA
kvWbluNnU5q3QiG6JLfyz1DVn2Utf2UXvmeXK7tJ1GN+l9R3vZPuO7rTvKIo7gvRqxvVGW7mmWLL
xCyeqlk/EL2bmcUQ1+70M0ufzCsttQkNJZ2MtTZufmgCBL5qYK2ElIMjrzk3pXWUk1VbY1x+tJr6
1NCut3NkUt+1Y10uw8jghOYVX285kJtk1V2HqspwDumXtvqbuMQiaNdyDua3mt3BylKetdozlt6b
vuhtjPh2FlDGDdeNVliicHXplYmM5lhXm8zQ3scFmjSJw/M0VYkFhvDts6x0PEjEOTmvhtC9LDRX
6ALKKney0unaTg6FcUomulLGrsHvJqmxr6nNtSjN7my2rX6jsPXJknJaI3GgBLXZT2iKoYolrs9p
oNnPRfiMM4dJtKQD8ll3QZPG1Vq36atJy71Lke6yMUq6LXVtxpLWNvuq1oOMSkNMXGYe2PZSQEtK
lm2ZNs+tbQRlK20jEW6roYyv2F6buJwS2n47IbsOVmgSeFQm4WYLr8xSrQP2nHsgKsfUSqKgL1J7
2zVj5AsOYV44zvMZ8dS1rzEN4rrXztQaOrnBLomIeVTu4rJc7hZR8N2IWQoMO6pI2PK9khHlidiP
ew0yjAupDu+yMR6i3DkLneUgJQslNUrdBmG2XLUFkn3MBlKyzOPSAYqOhyV2h3G+JENwS+xyZkFU
8qDWoPMMsdRi0OpfsUKOLv189nay+8mbFcxo8Hk4vOXxZZ+olzTvyn4GWX1b18sBUscxzDUf2sDl
2JJ/19JGBloh6Byw2pNjpK92WfzIu3DiGnIo9DAlwwfOdFZp9rwJzWj0mH7kriyLe2XIXqpMYp+Z
3GSRtPYc0vLEGdR0W71+zwEhRIWskybWwXgkOr8yoXhV5ARPEgmH40BJpDNUAVSq0RdNG9I5mh1K
HGUwf9LovolzPxHhE+kCYNjculaO6Ff0T4bGFj7uTzV0LV/vi9fQUJ2N4oCaJlB5P1Q2LGs6CoFU
SleLXMu+lCfnSs3JoKqyQ96yE9FZUw14wXj3lHfw1DtrCI92OBdb+i7O4FcQY84kNzXKh2JuT1Op
rg1VRcHZgrla2J41nXKgBONNqu2fgkyna0KrLBtpF3bpuy2NQTdU/baz6k1X86+iku7lVD4u0aHA
U9gO1r7ushdnSH/EHQ/fUZLdtLX2Q0IQxejtyOvM9mzpBDzqjK+n4JjIAO0wLVzP7NPbQFWZPjLJ
c1XDuknSiP+ZB/hYKMekpWVFl4F5Ktx2W3Zuz+zA9slUBQ07HU6Y5tliMAod6uSC+agbOuJB0fjl
9VQxaU0PGWzmrVb0r3rkPEScD7y6aE6yVVyumxhFY8EjL8xETCmovNZOU5bctUJwSurkxJPq5rJO
nOOsho6vmQy7JKAeFsXB3qIX26GaFpgN62gcKnqlkWzpiiIKkpBbp1zgdmntfFOMDW/Nxv0Zs++k
VSXZSCUn3FJv95YWn4k5/UmQJQkiYV+QYt5Wy7aD9aza23YufWU60oZ6SwgzcyVdLzy6lbfkymt3
ttjIaMsPzV6z2NEP+KtHXaWaRArlmC+reakqdXQnVaQGC/HYHrh9bqO1WQ0g/71SW2RtqHnpQHTu
iM3v1Crfj33mh7ZWXxGypqsNVqMpNgksK4loU1VRXU2OqT2j8ExwuE0E9t6AI7o0X818O6VsJJKv
hxVO9sUiwW072VklZP4KGHGuLLXbxcEr0FZSIDEa8MtMEkGiV76OOd0Px+oRw+eyKe0RoNMcKRsa
1++0trwRujkFnab/bNL2gfAJfmo2XlJIMQrw7n1s6S+w4S6nxAEDYq1zhaQvPPZdnYebt8FLOiou
JTMTy8mafZJZ2DqWNL6/9btjbz44cFyc+Ni0+OLzWven3jqNfQKV1zoCIQNY3qUvCsPrztGPygKd
oK7qH6wtMwSd3MtK+65LEv2sH+T3hRg5CH1myfNoE/AYLhtzYYQcA0zhKOGyrxGgQsu3VhSEmGPJ
M4C7BE1nHvUmv1axJtK5PnpGUYkdz92jQ0bRmg0WO6PrdgMtn6xvvKDR0gCm553bcf6FjG66S51u
axhzrqNkz1mD4BFfZGS5UlzPYgKz0HYaRQiY9zu0lbLuLwojfYMlmeGYnz0xU+8YyScaUYO8HE+6
Cmed+N/S+G0rob/L1UMmon0fJ0+91d/VTsUgGD+m3W4n01rNltSAFae5UZ8TYuR4EHgyFtF+ma1l
nw75M3/gXZxIpm+xF9zE4OkPPBWedfwwD8VChr1q0sMUZ/QoM+nx5mI5F+Oseo2pPNaj/DKl2ZUQ
5UtW2623JuNBoz/lRnVMtPihEPE/rRr/GzfrWCv/84EeGso6bs5/nz/mR/881UP7UmWbQzhnZ2Ao
q2D516le5Z8I56JYrrCvFVr+r1M9x3VT46yv/9lY+eepnnkz8ibSpyprNP2QTfgE3PwKwPmbfLAN
bsyRqSw1GG3r6x/xcd5sKZGS561RXUAOgmfXT6qniDW1PxGiVKdIITGQBbk278uCbRQAifipcKyz
YkwC2+m3VV6drKGhL166WKRwIxMl83L66455YgEMSdr7WdYfbYf12e7AiNhSv6HT/NZsw4tU7omG
ZBFhiiq1rqZIW0BhLGktE+c15crnxCJvgEudlrW4D0LJuI1DOFSZYXNElfvYS2j6W1KClErEEQkF
bQk5vzlrLeCwFgSifZ0mECwUOS8p3dsdRvy1UHAc5btxbRikxUKo2NV7R0dG/FVDSB+huRYT1mtF
YbOWFQ5j/gvEgNpbpq9OAihjXssNB+bssFriPQe+cJ+vFYjgZTZVKclbFu38YBiSOIZJ7KwdCNig
2/QuaQoWq5z5L5VYFxWtEmurIlkRNlHmcNsmDSm7rLkzreiiZiqOdiaO+kSVhdaEK0ABFlIpkYgQ
utx4TstnmjXDeV2DlMrmKg8IUG7r1jgzSvW+SEeou0jSIesc8RFlZ2kNeaEseRuhg0TlclrUYoTu
oWvukLaPeS954VANbpbUxyG2U8JyjHnxxnrSAqSmWus2uyrVUG1hPuaqiSJpXmUh2CpNwPRUl2jT
6IUdCKl6bVT6boCMnFRNbPRG2qJSHNENLpR8OGgaGWJcIodm5JoJh+6ySczeRTBQPHmkBlRfo9ZI
eF3KrAgl1jJiMDYOZW2MrKtdppD4qKVtm0qAn6vufKEU1DXaBMycbV6rpnrukNnatDPuOL3QiYFk
ILW0akncXO8hRGeyRUFFuOmi7nZypjgY0/I80sPnuRl5wEv2Nuo00zd6+V5vmudUa4hL5eikTW8i
cUdXkVCOyrRSYiYQJs5ba4raL5h4Mxc391EDHwaC0LEfuouEKI50VVVWvrzPE+1uFid1J6vvs5AD
9riMB043+nlJFu0s7Z2nKpOve6Nlgj17bVNShR0FTMP9uhOUxyKhy+qhos04qaqzKe1OZZVfjiUJ
XsbYwzYPB/r1QuPnYkoDlelC07fJQJyDY/i43Kjmch41bUcdTSKCCCXaFZrJ6+rbOm+3wlq6NVy9
E4t22RpPnaSQ2x6cu5L2HqKgh1blfFL0BtwNzY3q5XJYgJmOYDpmY7jiYUfeqPdV1SBJmTDgC5vw
Uuv6o21oOAHs/lANyTWKmhfO0c1Sk3U220HDr5xwBmh7bpTCKrdOpEAqnfMk0LD/EY2Ldg0sAFTs
2N5UpMQYJnHllDV0m1JRdbfA/GhP0qOllz+rVn4rbJUaqiq/X0pSbRTPUd7G3sVYYWfyKjKwy/pB
uJMdBPpDsgoRsyxfFqs0AQ9OuRCoFdoqW8joF8MqZBTmdI3qTtwfjYP0etDowO3QPihOCkiKkVpd
ZRF7FUhgdT6Uq2SSoZ3U9gzRpPLlur100FZkMw2WVWwxUF3SVX5JzGxXrYKMhTJjQw7ilQkbO/qt
soo3zJ06f1kFnXqVdhpJPZ9WscdC9TFQf6ZVBipXQcjKVVddJaJkFYsMVCPea0LHS4fenzQv8Sot
9avIZKI2KahOkfOaoEF1aFHZKkqp3IKMT3K3R68qwO3SGM+3uEpZ8Fvo4FrlLTGmWwwHwJxW6WtG
A0v4dfYqihlGdJajksXQlJmvIpzpq4TGF4qYRoRvKomNFAzTGLYp/mCXO+eXBGe30X5iGxpKlPRo
h9ixzXUE9yx3CwC5AlFwVfMifQqkuLlRkfngmLdgq8yB8te1VQoxkHAypxOCWu2qE45Ng0MR5RD4
xc2AlKivmqKkNdsBkdHI6pNYVcca+THqp2t5rjaEf+fAQKCsEColEB3E/OchEIiYmQM9qLOsK2ag
1BLli/aHpfd/+6nVxPvFfqpC73v5jXTPT/21lfqyotXAQgKCAFjLL0bcX1spG30eqhomYmXd43xE
udj/QGrh3Ew3C04A2VT/q62UzS7vg0CCCwCAOdBUONSY0FBrPrlxWVuAOXD6v1A1Dh7MiFjeNM0c
XtuUSms9wy5ShNmO2hCoyIpzH/Zj7IYtECrDsH70RX5jFcJhuVT9oe9lVvrkBwyGfTc2x0xKV0Qn
3cFJM9JONPa4opVnYU10SKuiOxRNs2eeBVgguWB0vy9i5xz8kKu0nUNhKiHAcV4q1+rsXQlndBGS
b2k9hVtm5VXScgmuK1xT99eq1oN0szhzZeXVnEkKcXrpVopZVSnKxOqbcBiHdJCnjzC2n0UE1Ck1
0uuuJSTWNp2nYMEqZDSBdCm3M6fsc7nW6XldCFQr+mExauT94WB34VvtiENC8wAqUnalT4xlozI8
J1FJPlmVnhAlN5h+lBdEf45nmQ34uL1PVPktspiuiFprEIXyu8mS3gZj5I3kDvNM+3zOo3ij8B5C
OTtPlvqlSwEQjGGWbAS+MS9WG2NbGiHCP0fB1i7u5jq8IMb6XMDNdDNLPU52s+31DGJaUZTkdJXA
pqQNx9hFxmiQE/OyG4RCrGaBu2I6Ab1QHMTirdzb4Nfs9KpkKuaNJQOKbsE/ZJPJC+vHJKa17P/Y
O7Plxo2s6z4RHIkpAVz+BEeRFDVLpRuEpFJhnmc8/b9Sbttld/uL8L0dHQ6H2ypNJDLPPnuvPRhc
wWqK3Op2dlZp2r3Yy3gcZQ30vM1/lG5zNnQzpPUKnwGbAuJ5EtQHnFms1/s2wK7U1uGDkTUHUfGs
Q4L1rkbZVxtDRt+L0LkPg3nXp+O04Si7ojwW3IapfU5WpYxIW5l0z/y7fVHyWLQGl8PUAPYSJd0N
U3x28qb8QZ5YsKEJOzDAGE3WkRlEa6dvf+Aq3CdOs5NDHaHwN+GW//Cs9/WmKvucKvCBplutvdeH
ZpfY6Tdr1jnI+3BVufbxS1PvSqK5RZHTzRPNTPXp1uqIR6AKbGbUiRVJfRd7YoMNktE9yVUUcDZ3
RlgeU4pWM0+tGLzm1krHqyQixhg12Iw9fvZWcOwwxADDi535A1J284xmbq6j0Mtd/F6Fc2dURA7C
lctW8Fbgs7wjKo3rS58Qrk2xTbVIrnoj+JGG02dAZwG0gcwvRO1cOcX0hFr33qV9varK8tYJwdJE
6a3O8eG6Ods7STJsctBsnWEdZ6LZuiRFychbfHMVFgaW+uaU7MnDWpsosEakEWfxk4FNWEW7WAeF
0ZTz2ySNdT1NrzSSbYQ3P/KLJq+ZaIc51k5FHe2iVDsUXI4lnZhhksFwCfYJgKXULVDWXdQva2Ed
1z3rdcO+ijC4QaR3yF3cBzFR75jq4C41VNHibvQkzQE5v5Cnrkl289RvexdjX94faDgKQbA7UDfa
dRR7L9RHc/lvotNQeRAu6xiVPZcA31IO8FpcY1L8aEeLNwErkAlRNLWQBqv5TJb6MDYmdTuGaI7G
OPK7VZsWepza5qNvhgsukHWbWA8iDnOa1pvTQkEzPCTK1VLehcKNKJLWPbj/4t7ug89atrw6h/zQ
eaELnXHY42GdfK2295aJgCm4UEew2JIYQ5MbD35k9efRKY6sBeiLSzPfCl0ABf2qk+4eiw3OIrHz
nP4mlsOzMKpDwC1DDsLZpEnG828qNCgG5Z0J+cKPl+ZiCbyfYbJXVLsqHq4DuTzUylVqdGoNetXU
EHVrlLQJVYxmhK2UzcbU9ENZUu3SlsXCU9hEoOuOogAJXGAq9bBd1JV4JwoIXsfoX01gkv6ISfoA
9upG0ZSrMLzVF/fkuZRaLosWb+UyXgmZ+k6JmwWQD85fLVbUS7vfQWi8MTNtS4fEjeG5P0xj2Rak
zFvZbVqwx1sqEgt/1LrL3FU3neM+TjE0o9wGUznltrdhBZy9pGYww7oafiRtf4wm8ZT1BWNfeYq8
FrcjBdfc/9dG3PywQ5gsqgE7mrD9U4md6gboi4HSSrpOW7aujRZA7VI12rJ5nurpSD0XeOw+d/DW
YDOlepsGDj+a7AsFlkerUwMpJd1BjacGung9W3vZtunTkGkj9hut0LfApkffndxNJuKDYacMrar1
m+LX79Zg0gM+AAKn2+LNW5aL3sDN4roQrkOi9JPqEQ9MGkE7KmtpaT53MUJ0P09Uypbxc5kYN7Sg
31kpveRDSX0lReU41DHXqYv6fGnldFhUo3kDWGhV2MXjRNk5EvtDFnP5HVUNesYcyA7/MqiGdEAp
94vqTM9Uezp+gHhjq0Z166tbHZkAFRbtPfqVyP+3oV5DhcH+SEDgUaQZD/QuJg6dUJXh/MVZ2Nb0
1c+e6V30+3z1Ym+Hm9pnnvG9t4e79lxexZuSqor4ZO/gju3LbXRlAwY9R7/mrv694Kof+N9fcK/f
qv9xvVUf89P1VihID/UhhseIjP/mJ6UQkzQWVODIyuXzk1LI9VbS6eZiASIy8WVa/U0pdH8hI6H4
hSaQQZgs/0gphI38X68f6goMC0qRhxPov5ypXO1y7NrGcqmqNgfy1fHIZGxeVfb8qCf1LojcD4vd
+jqo+nfRB6+xhBAjJuvY2kGm9myPHgwQYc9ne6koZOvyLem1jkJd9lNxtp0D94Y6TR1Nrzc29Sh2
0L3Po0mNRV7u3NDbY7tAM+RZ7coFAn4IbKyTI8iSsuf01j81WRyh2KKDDVZ4diS+Fw1k68qtsQ4a
7PZrdDkAFQcBJN+vDPfJqcyb1sguNg4NHmQFNAdzyJ5SOYMqQy+Ybe8WwYNiwZTlAha92U54fGUl
TK3O+hzLMDkvS18hF/N5MATsFq1RLNTQ16S+z7VUbMNJb9ZBNkabzotFx2BdXfUCe6xRjUiI4IjW
4Az9OLO3Xp29wzZfdzNfejW0u566RdLKVrKbkCG2joi25YhFsSg2U9gB5oFN0liZfjDm8mgKrBw6
e9wAFQFiPC2oQeqcxrQsfW+U97Uey+0MndfXCnyEIR6OC1nbQzH2UCQWLgJ2a3OXcQiqpaZvgkSE
7hi80tj3kGgukFjN3FtzgL9IcIZakw/TklJUG6SWUeJiYAW3LyNoUXWai4fZ9WAxT/YhL7AGWGF1
p+vZfrJcx48wnrBjBk5TUoF0kOMAy02o53bibeOi7TcIvvOmDjJrZYfpR6MXhT/UqvtAW4w7rwaA
stjpJrLZfMJZitZap4OVGalHRo818nPK/gigt2bvQxdoxai56YEb6HpSZdaDhdopDSfZdaWd1fsG
qAY15KOrXencoFlzV/RHpt7Voq7XOvdsyn0eWoGrX3ADt7SKygfu5Cht9mZwcW0MRclOu1H12z/K
CWHB4kYvpuGlUld8uWAhU5f+2PS4/jMHDGoggPJ/6pkQcjUqNMwMixoeSmIJHdNEsbi8JbSnTo0Z
FvNGogYPGVoXh0mkZyKxY05EQA0MKWm7S5haMjW+QIlhjRRcBpE+Imri7GLSCdXIM6jhJ9HreNOo
gSiOijePCSkKNRraGJmE550LZqhODVMjU1UcxI/UbxIt1QAvJExeZlw9DUxiWpjNTE4MZwNTGiLJ
t0GNbWNHvZMa5HCup7cytV67CmUTVAqS4nFm9luYAal8olG3tDF8Mx6CvdllamCsHHk0qXZu1CiJ
y+QO5KESoudXw3lItY01u8eK8dNTcyhevgbpT3uIB87rLs1uufRrPlkYCpJpJFbzbMFgG9kBtlhG
XXME+cPoq2lyz8a9XHVqKhZqPoa5QLu0d6Zw++AM6SWmiblnA92oyXpQM3aaL6+emrpJHflcGGs1
imdqKAfTcurH5YAh/B29k7Fdx7CnBvkqTu67zH731IjfT7iLi9p5CjXGf10JAQ2oopUZdRvIniwR
vSUjCVYAuPy1murfE1fxHv7+xD2/NXFV/q82HvVxv5268IFpsiNQyDH6n0qC309dQWyQoMivxlp1
X/pjPUdZHX16LMyA99q0A/9uunV+4XalC5hhoIEdQ/6j4mBqvP966BI6Ad/HhhCdl5P/L1HDBCan
4SxGdMnFYgXniEPsddJF5LKpLorwptRG+2rpa/kqI2ts9p5WUHWCU2X81ixO+4R8UN57XmwzZpr9
yLK5cLrn1qRFB4YfCFUZcZ5ZsfZEDAs2aojdPDNQzY1J3rhusQPaeOkH+cDb/Q1Wy5vB3LqKpzvZ
ujlWIbEzMtY5xszcTiXbZhoCCFbNVSQTNP0WkmfYYCMJxfyW1qAz6xGPSA8fjZU85/i8MN540lXL
dI6PwoFr1QPGChs05jHYV7m8swbgY7HU16npfJ8DgEioxGtv0N/orbqvTOOVLRVW26AZt0WRQFaD
Xr9zYy/3ywHUJoAQngbOaXBbmm3TbSqL7JQ35bGP0p4MoIGnq+URYjVhA5GfGaRa0ruhrh5ra6nO
ZsNRyXpP52nHEYfvA4SxBcC3yaiH6cwp8qcizE7om8Q0qxecMAhAuoDkJZpPBKuZGMyELt72e4gQ
O0ETsZ5268pxku0MV9KyEOLp4qTzp2PuSfgZ1IE++uHg2vu44J+sYWKy8MqnIkq/O4AYXTQhUO4f
eho9yJLHbtcl1gkv7SGutNu4wrs12FAIg5yK5LCXpxDHOeoYaF4pH6wGy1poO98RRI4LVYbVTHsa
+YMMEcDBjDeUCebW6UgXgN+JkZ1RWeyyGGSbYfV4OElh9nWB7NVma0lKc4t6sgEXeI+zkIYKdK5V
JNytVTvDda+ccpAi3A6/2KFLZf6EVDKtm7S/XYaBK4cZXReEP9XdzFwnc//YzMl7MIz2XkZNT6GZ
2DqN+8z1+MUJQt9gjKMqCryh+jLEcEeuFMPTcslQ99rY2HrBDS/W8hpfySnz0ptlllxFvXxbYK3b
NixSacpJO6Sz+dhJXna6nZxKg2WzWvdGmvusOST6OpsVh55Mga818TYd02u7yi9Yk4/Uw91wftcr
Ep0kJR1ryzbh1YJLG9nGY95lNHaUhFIGeZlj3JSF7I+ah7dxqIm6B+2DmzjveEHPjew/add7aDuH
8V6ekiHVDwK/IzRbr8XPyO8hSPLvGXUPF/aqzsqdsn5dFfLCNy9X3Ri91I0NcVfkFyPQb2rkMXTF
d02jMKj0xMqJ0PBy9JAOu9ypMKOjk3fFcySREKkkMQBfFNlRy/oKRDfOn0BI6bOYfBupr6bRKrvV
2+Alw+qKko3lOfKsvecup6zozr1OBK23vo0yf+PyjdeMTzoatwlB0IzWDWyUl5bgkGVae7PKUpxf
2bm3Jbh8yy22c1qsLSMFHKrTCWhHMK478xjrTXFL323QXk2DTtJzKbA+GtCuPTLRez1xn/ucvVRY
5lC+6ziBpZcJKGUtX31YlCUCnGXcTLN1pYlYv454Y/n8zu1L4ZBttQe6gWXnTM9LXYR3DRfSY0JF
9K7jR7AZMy3b6wz1K0z3DovNNgipCpBdtO80U2M1GfGp50qgOCSswb9Op3+Paf3/BAIc4yJs/3vx
oz7opzOas5lEv04NEGcr/9fPZ7RuE5m06GUE5P/HGS1pDeIvujAlBDNA/X+c0TYte+Q7HUNnsSJ1
5x/tfb7gsH/SVTie+fMEVwJSm8L6y9pHD0w1rTn2dbRoZvNIPoTiN7+Yc30d0a7GmzZpjfjcuqn5
UpVyqndizG6FZvoe5vMc0+zUcZA4IsAP58q2PuRlAzfEGUwFcm0Tk/h3cMUqGucldpslvS1JwKBw
3Uk9ep1wr/hoANezLOq1pWIzTIpEGOroHeyjZJ9EuIapOGK3zT2f3I1XJCmp8XRej2RyIj14qb5S
OqVIMCBnX+mdNCsJ8mAo3Q12g6F/HfGnSr8km1icLW2W+zlK9jEQcjXEjxvRFSyIi6F6h3X7GtKv
4XcyD6ivLbbtFI9+mSf7OtH2CI7damqKd2EiN2fsWoHC5o9xqH0YZ/KI55ISl0mdV17GkB9kwYNe
u7c5wFFvHnbJcqt38nEc2mcwChsLq7j3K//13zeize3y7+/LDz1uts//fieqj/r9nej84rm6YNVK
wS13Y1agv70Tv+qkTQHIj+5ZAdHv57ciK1ZaJRGhBG9KhdP9TaNSb0UPWZK3owVtENPdP3CzsWn9
y3WZT+zpluBr0C2dle5fNM4wqEVd5CWF0hkuMKTsVzqzgEelnbMSQ7aem+zZ1oPYn8vgHDfuuLb1
sfXRfW4orDhghocYZBskblCqWi0+Rn1yxpo5YoKN74VIvw8CmVgrB1C12piDTTXO5QJFg5Mz9PNW
5bbF87iw02ytF68OMbxxaG4DtSXwNNJL3BPQtiJYDHTyOCFhpbhKnvCzvVZz+ThEManerkW5kfKp
qbtDQfC787RnNJ1jJB3IW/F5SKMT5IjXtqQrOyY60pj2R8YiZJPzjREIjuUO1AO0pfJbPoMttxKT
fDTPKb/Oxr3rjY+zAYUz7MatZS04dRKTa+YYZ2A63O91RG8QwtCp7bKHseBd6Ib2xk7dOxIW3/E5
3WAYmikqoM1BhEm3Ccbx2q2GF+JgH0FXfgtq6uvL4oPFO8vntAk3fTE6+xZneVh5JOdamPHha2ZQ
U1BlbrUeJfeUsSo/Rt07Qwrp1tjx4bSrg3+2CHOw9aZvQndO9Pld1VYAczVbLzG5irkct6IZr0LP
24eGfTcvw4/YSj6dvHkw43BH2dVLHpLCEA5fJL8kTzRQQUbCPYZIajyOtbyVoGNJiv3IKKlcB4iE
pQiE3zfoDFQRPVuhfWd1c4DnK32wQuNHb8iBbZz6cLvvt5bZv+Qss1ryfkRO5LbvEPGCvkt2gCG+
Id+lW6PqiQbbhIyI7QPURo0UFuCIJd0KB4Q3XIId/ZbIcmnFxbbit4bxhv4CW66/soQ1epCM23YX
tNUxDvL6SkHd101CpwPr6DsHavZY2Nu+tmqWDAG0lTRWgtXE8mFpgQr3vOJsZ9R8d+FFPLf8DnOj
Cjdjs9yXzGmrvnDZ7Q/bQPT3i2tekaIzV46RoTLVAfuSDGvQ0KcfLCpf3CLuVo6s3oWOx7koA78Z
J2xkIt6zyIYJoEV7UWjJWnPSwhei3NGbudNF3MMx1tCYonFemYP7mSf1yZ3KgVRBUm2orjjIcJ7X
BmmoTZhPj7R+XJGEiFe8GglSmt172yPxChVBYUBbbnL2pUeL0OJ6IrUaHrKviGaajs9ED5th03xF
OPkxEOc0OiccNzKmg1R+BT6dr/AnDGeCoB4jHUxvN3dutK+o6FzH0Y1ZT+E3OgE2XGadcWVFVnBd
tSymcWty4cXVwZ4kcrzwPqo5YEPPnm5Fpl1h64vNDf186hh3M9ZRX4c7LWEc9PXXoQ//gQtAO5t4
bjO8gV+Xg8Q0XtJRiPicFZWqYMsimATS+RBh3yc+0nTDTZZYvkdVXGrRNhvHhhM+iM7J2m9GMIQQ
N000g3Utchm8pnYcWWdhsPFeZd7EVf/feyuZQvvrJvf3x+V99NZ2/2Olo+5/vx2XmL+hWEkofDTD
ew5i0O/HpWH+IjAqYRfiE/16Jv5HXbJ0JCQLM7YijgjKV/kD/3NcWgIOCTUIv5ZSffmc/sFxaf8F
0qZAVlybydVwd6Z60/WU+vQTbMRQn7zK6oy1i0MeyepBrVvj0+BIJOhau1SRwGpCF1KagWlqZnTP
OUQaX2gLHCb3ExfnmbP4geUoJgmuaevZ9Fjmhhw2rrl3s34ru2CTT/p+xGabsw5Rtc1r6F7fWptE
Ny0fOCLI40y4Eh2O2q7/xNqzGWlXpJMZo7JeQbKwPqQlduHskQtvSdFqcd7vk6rZN56HpyTEv2Jv
F7JGXMAj5vnhJI3y0RmH69Ggq2JurHgXLcZbBnLHEOKF2kp76wRIYBW9VLuG2gXoTlgMLBKNVHEO
Wzeojp2h7T0z2aRRch8MFBxOOLE3QzXdFroV0uhcbZl9xZ5knjiaDoMm3ChYC4VerEBWXDwz+27E
UbWbWUmTLeVZqs3BQ5OVkBv6aS0KEqsYbs6pNdEnHRrphvtz5kcME74zYXlyZnfDaQi0qyvW4Zg9
YgjWrvK6wDJZ3kboyqvC9a50GnNW1BWcvcJ4qHH/YuO/jSl/2fQLw+ycj5TTuT90bRqR1YvbKcLb
j2XuW5LodxBq8RyQBEUONHN/lubDksffUoaJMVMpJhe2lxmTntK9Y1KLH1DL5D5ZJouFfz9volbS
AxGYt30XPUcJX3+I9E9fKmlfWVm48EtWWYVpbfKW6tQkpfMzW49obZbKtxOpxTNPVD4WUwuEijrf
soheiOjdTQ0bptKtKMEx+10Ygputi25edVRmrMeEj8swnOAjTa0dd75LWbrqcsfvvWVroE81frvq
m97HJ3bspyb24oNGXZhvS8y2lkFZg9eSnMk1s+NhXnFTKK+LyDvRduBAoaG2L2zja5GU3+qkjtEZ
KGzo42Y9WYUvgZyt4N0Drs6Gfa2LG8No/comsJTqwbEJ+0NbVI+9NuzKtjhHZbklo+UB0o9RQ9vB
21hyRCHNKOdxxfCCl+azHWiQTabdGFfzOikQ8Qqp2m34riAWlPXY+ak33Ltptu3EVQ0+cTgH+D9m
4dGuVVx0u7gxBqqL7OWi9XiRBuYlQ9GAenJvfRktmPMJeUiQNbxA48CXGrCrmr0fkf8MX4hd+Vgs
c3+0elDTYvgBK4thLDfhkFXqrZq27xPNiWPpUrA69fTq1AnOfc/b6YV9iHQKupbAwqeLYSteuYVH
V5c2QSCaTHKfTjRuPc3F010ZOHmj7oooaEIppoV9r6NDBHmzNIeXeuk/CMglm7LlxA/N8WbuCTck
OHP8ucO5wuNooFSuLwzMRGHWHXn2QOIhfo00XdNCWuTdwS7yRG7NnrqqR1ZhrruLrEbf9RZ1pBQm
FDoFKbg/Nm7PgnbjFhrZ1Xpg1b63XH2mdcy0l/haK4i033si17v70Ws089hPPRRtu8iil2axjOGS
dtUeFoDuV8mcbRhfLVw1driqxfKmN+FdG9Cm3aXTlWUV/bbRGmpgNXm0mdLXbBgsKpzkB86hdpV2
km1dYr2kmqQeahiUtLfIK7PkxUyELl3xnwMwtcvXKrDeoqTBh+LSP0ed1A/aWHGLR6XA4j8aK8Gg
smo6CvrmdDrPVbsm/gdLt9LODM23WtAfc7d8xbP/A90CHhJVmS1RG+z8dua35nQVzQdbkP/znOot
Tss7GQfU1hl2tCGYBKCno7TMSK6D1jtpyfwti4wfiy74U0L7RzrkdHHGa225AgZHftduNkHY3KUq
ViQiQX3yesqOWeScRZrRQjaVar1AD7jZ+JOG0lDHC1lcI7+WTkrXne0BlyLoS9jKILRtL+t46s+0
Bhy5bwU+P4Vq7xTkJNoSOdBE/AWEV60pz3A2CxmCVRFoD8Q3Fzt8NpqWSguKu6hXJlvspt7IJ0dr
9lJvD3OCAOuUuSwM45A2jKm85FM1brBXnSq3oxbJJYYX6s4lHoszO5ScVoPg4qF/tHkLbqd7k944
b4whvZ+BWQEFArgVeBwgdtI/Bn3frntIikg5V4mW8jX2ywvRe6oVe8TRtMOmawtD85uy+2w975EH
9FZU2SnNIxAWobkHK/xYDyy+Yxxv7EgVvOBmcKs7zy7fYw66Fayya0t0RzqVAkyoVkCTtd4Qo2wO
oTZwJHRQJQzbS1ZRmh48GzTjEOJKdo1619qoNbHVUuXX33AT2RZG90TgeF+lOD6t3uAF2FsTyI98
2AjdrUmxBPBkEZx8h0ACbEIaxTRN30lyGoeOH6jfUg8puN+vsKpe9QX78Vpin2qnR6oXxYYWPqa+
Xm6Jy4c7bdSPWeFJfx4BBTS8046hbtxInUWH1lbo7oXI8VxlMDOCAPGYXJSfOOaBBskbBvYnjVD0
lv5rPApxwAPOHvdLbvCWsN0bo6GkxNUpp5Xl9FGU4bNp1xfYKh9UE31MUmyrVr6UafhShpVcd5hF
grx6ESUpYKu5H13jSMmNbxrM0iLDq9aMb8pA2jvGp5cuV7g3bhfdIWDaifuCuOqq0GwSyCRR/712
f127VSv831+7d9lnUfy3SKU+6KdbNwA9S7e4XROrVEik30Qqw/gFZcrif0i/LH0RhX/b6Xq/QBLB
LkWwEqory9vfb90mK2JXWbL4G4A/ZOZ/IlIhav1FpLJBx35R/iDS0mrGH/enW3cxt44x9a53MXIQ
meTll2rXmGVY3JpaERnUruRt8Oqxb7k1QRRIlbUs/AVrkky8U1N4KcnE9D2ty6tZbfoMyltmi9bp
VWVmU+435oJqRH9hP3i38IF+ZEEe++zQ4BAYO80xuIDEQGIQokPw0wXB/krba3H2Tp2rSZVPeQqT
8TY1CGPJrlmHjdzjK9wLOEMrk0rFmAgeoR8aJXTv2gA9gSUf9kFkZ9tezPsZ6zevev09yTlj68E+
NK7zUlkwXpvxgyD62WXSplSN7+2bR8dTF3BhrOzykwljnWaYPxKPe14qyppMqbad8Hz5xqDv6648
Dik8oLHjnElNrdlUBMUOwnT5bgldYqtdnkE1nRlRckAwuGib1GqgqBIus4wdO/Bw26R0PXIwOzBI
9TckgmPapsO6tgg26WX/LZ+C1z5JwK2Ul2kmOKXlgb3NW6PCCF4cxpgdKaX3LA613F4LlsGrkqN0
R+cnJd5anvtY6E5cBm5zOz20IWVPkZF8n/PBxcesnMZl8ORmbJTNcH4rjJ5dsq7/YNzgJt8fxm4+
0cmbwmuAiDG0Dt7qsR9PZaOTPEQ+BEzQYY/OPnOtGF/4fYIGfl1yeeZC7Q9ZdpPVCYbg4H5skw5V
Jk3ata57dXTi8t/DD6AjETt+RtOnXNFJ69VUFKgrb+taxD4IMcSuCxoyD5HWDUeLrpy05CZJ6PzA
z4VwrgVqmCCu690HKbc/P5t1Km7rksFgsGcyhI1tZehNGGf0uYyylVM0xgm0Yf/slrhntCUVL/8+
Dn99HP6fJpf/l1Vx8T9Ee/FniwusbFPSnkgw6UtP+P15CGnbAUJKLkrH1flnYyl7LZMI+h801N9E
e0B1BrKBQ2OOx1Lun4n2us3z+M/GZOQRx+MLdPGrGqz4/vw8DBuu+onpZhdNr7+FcUcfbp+967N9
yHSyNwme6bbpN47NzXFwtgvJGG+ur0eXSshA1cLnRKpXPSa2xumNbWiLLdnr+zEejI3rlD1XpPkk
umAt8fWtYr17il3ey5menSK7zoAfNfssbd+IdoarXre+U2DHLKflmFdANE/u8D3t9dp3gZyt2Y1s
5DzQMjtj4Be9BjdL+RkMl3gOjMret2bB7osg57YoMd3PNqXFYcbYAIUSOOWLqeLnbTF/L4W80rlc
k/UglhwOLWTRkGhRBJqxcLwbLqLPQ0AiPkF2XrFLHFeZA40tkUnsLyEzFDwV8MUBVv9uOzso/7Wq
mzXG6WmJwnNH2gFQGjsMmB3ljBbMJehujNP1EFJelxbGOdCNh2DOaD3KerRVzxxIIA0dmXzNXWGS
3OfmHPuBWz27KA/E42eSPDwi6ji874ykehX1+DQv1nikb/lSmbC2MCtkq6RuXqdwOMRFusurEaG2
t7EZjTNdRGZgrHh24Do0nswa3EYfjxc6N+UmTUFVGjYB8sWjsTcEL77Tyv7O1KLvdhaUO1rFfIBE
6ZHWw256q6BwWJV8Q0Atd7Q377K+DTcNm9HyydOj4p7akir9jMPl+zhFd4spuo3TV9QMpk3kum88
UK8DXt8HlpdiP3UGFIQm8C4WJo2r2Qt8y6OUb3TkvsOTosYWiqhgyl6bycKxEJcIK5ntPI80dTt4
BnE+lp/1MnBUlqFHsEy64Nf/fc59PedsZM6/v/Y99CWvwP/1pFMf99vNjx2kklvx8bHa/1U5/elJ
h8ipq62/xZbw5/Wk+4vFg46iT0OqlaYyEfz2pHN+oQNNKaOezpmtno//QG+Vf4E7u2r9KfAqSJ3b
JJdQTyVIf9JbdVbpuQak+bLgdzHxvVhDaUP/KdZLkZTbQZljElwylrLL2PhmBBC+GB9N1BP4Ajzg
4a8pdLCE+G3GtnpL8d/QGgZepztPi34K8ecskQQ3ryw7kRN+a/HwMCWlG4mrhwwsFT5fRh9l+Vl4
qx5zZQPKUlZyrrIGlXiE+l/NQmTplX3IU0aiBWstbn9sS/bWxGkUMRVzymPY9pIXOjqVhCQvrl33
LG4QDFNlWUL6w2OGiclG6/EXZWyKlcWJcfPU4Xky8T6ZoOJJq51by1Opp4eRrA5M5XBX4pqSNluZ
Eh8VBZZXmTJWeZH9aOK0WsrudYzktlUWrEbXgPJ77g0g92OWQx3BrZWMybaik9PvlZErcTKAto32
7CmTV7lU5BCSU9QAUVvwgZnKEFZgBScZhkkMf1SOxcd7ndhY2vjILPTW66q+5VzZ5vjMZke/cDxu
e3O647oLKDNBmsaZZuogSTLtZbCCZ2ThrexpV/eUmY1Nz3uMu61SNrdcGd70KbmelQWuxgsnpoBT
QdnjausAzBm/HHiwcgVyArYhbrpA2epyZbCb++E+ot+Bf463sTLhdbjxer6MoF4WP1VGPWuEMhiD
lmpcuoJRSWpl6ksSjX2SMvqVyvI34/2LXcSsMfhu1ewgY+UOLOWdxujka508ecpA2CsrYaRMhXET
3Wm4DO2ks062Mh5OdfLgBsUHRRjrIsiJxaffk6J5Cj0mAvw62Bj5pvaVMjSSUgRCVk6hj1a+NZXt
MXYIHZcxDVxxv15wRtpLSoyTGiPDzDZUyiOjoBq7tl2tLWWsZFX6UuK09Ahdcnrz066VDROxmWqA
SW/ZD3Bz1dh5rJaJ00aSBjmDCHis8XQSTHF9S+BMLWNyzfAe3DUd6/0qww0qyik7oSWTfmxfYvyi
jHF3xCSYnJSVVNMxlebKXlooo6k3F7wy8Z5WeFBdvKimDcx2tpdrki/fg0HT1ya+Va9y73p8rKOJ
5KEHwcFRB6vNi54Ii7udlP2VbIOFrJO2q0qZYzk6KZdY5jdgOHgAlYU24ye66nDVUmGxFrhs9dnB
bquMt1gxdjEEl82c3mFQ05U7d8Cmq6XzW6dsu9PwkGYgFib3JlW+XkQ2i0AhXl8T0y9N7AWMB2cT
Ld02mgd5hT2HvbvaTpOohvyqMaEE+XxltfamrCr0Kdcw14ZmfRpTe86Edp44PTexOxcbMS9vwFX2
c9XZfikVIc2hZwEZx1nNDUwZox7v4UGWxFYgaQZGyA7elHw9QwYysOcVyL//YWQspmcO/FUKywwm
nHZXQw1rc14SlsxjCNnOY9XU120Gx8PQrc+qEhcHVlqbTJINR2apU5vApQ7MUSzNKdDFbsJ1CJtj
cY91wTfNfgPqTVd8s/Ks3JYaz+AwdiFhDg2AszncB+j1+1Kf32oZlzuPR6OVsgQwe82P2KcuXXRp
WZiwUFepoJj7ZpKPoCmgr7dilzTWQ7XwrCz1ez2sDb/EtbwSpfMWkv6pZHRl8M2tx1jggBX9/2fv
TJbkNrJt+ytlbw4ZHJ0DgzeJPiIjsm85gWUmSfR958DXv+WsSxVLV3pmmstqIhWVyWwiHMfP3nvt
J8NbxJrylmabp2x9W5cXddaFb6O3vLV9cw9kNDpEuXEA6zFsCw64ldMPD7UPmq/N+P1SWb3x9eV8
guO3ior2I20pr+CUr+LghoNuz34OdIrTPc7h9JxZ/Uvb+IQQs+HFCRbzIKxJbEzToquC3rpN4scu
GFP271XUkI4Q9rHt0ofSs/dLTXN3mIm3KWNdHOTpzs2DlCwQiWK7puuqtZ5H727qTkv4OiVXTmzf
Qe1csbR5Tg2sXnbBr6bs915ZXVtY+Nd1LjrWC943wUG/FSq4HROPt7ZDrtlwWd5KEjTbXCY06lCa
XAXTuavz+zGwDlLlHL9khZZZaP/xVVzRuJVEw4vs9czW9Kemvx49ZCN3wBVHitZBm9jkVZDsraYF
8tkmL2Je9mCw0jOJEbFbjPYSzNLYASECFdyrdLUI2151tc9vKyy2Ux2d3MA3oDfqCU/8mPbmwSYa
xAQI7zm+TGW/cki5FcyHqR4UW3KlMFiaZb4WPwZJ+G0IfFyZI79Hwkcf4fw6hf1CQpOyhhtzMRYw
k71zHGV8TQSciRXxYt4vCkhXXLPy4OGRkhmju9cVF6t2j5xGJw97U0ZwgeW/gRrZOvZzImtOiJFF
BGDbQ9w4147TRYcyNr/Zs/kNCM8HjxxdI69Ayxqbwpcbi+Sa3fM1draoNpnKP1UCF9qN4j2+GdLJ
ITH6MvJeY1WM+1nAtZ6aeNsIasotUsbeaGgygUfYZ5PXHyhWwgnv2RQfDGOyrpMWK1PN5j4ZCrFG
Anjix89TXOTfwNucRiuSu7pRd23n7VO/g5hvy3KHuQrjCsE24vWEu0UzvZY9iSGVP7iwt73cfSqC
5nZu0l47a46T4+3aBDAS7xOUAbUTff0oK+eTw/W2D6Zynce8BBKvuaeeYscBJ/aTo5UAAVEJ+uxK
LnASvJ6sfFrcSGhbqyyMhy2NR/O2VZQcce7nmxh+IeN+h9Sds4bznI7bgfW+dPBE82na00PO4ex7
1wy5r21bn5XMJZZIYyuodqfK+41Hy26crHtS41e8cw9ES0yqN+KnesEMlib5ZRI8ajO4n2F/FebV
i1uLV9hsPCNK+dJZ6lLhNVlPSQD90BCQ2tzoGfMXYSMjPy7JqXXai4qiXT1Z2WZI/LvYrXlGG97T
UI+XRcG5LpOP3HFPTSZyfu3zGY1/OMzt3G9L5V0K4SN8FhyEBqwFN/E2+M0PWWWdJ3O5Glrb5r4M
88RbvJd0KopbmxT+Jup9qp8nlKoxBo89au/OxLoCjHg50xUI1BxQyqFzcOC3ZvohJ2YYXw23sgbh
E5C+2FPV2J2Lpp3XjT0BHiEhUdHMkAHC3gfFlDJzhj1vLjf3F+fR642Tl8hi78XVMWDaokILmC/s
xzHw/sEf/h/x4zom2NL89XXs8v7125+1uOmP+uUyZlqgbhxuVHhf3F/NL+ZvTE+OQw7dtiwdkvp9
DS9pcZMUv3El87FV6yvSz8uY95vEX41XxuJSBjTxb13GnB9V2f/l2/ZJmkqc4ThweEbrL+LXyxip
0bmDcxXdhAz7cgb623cub1c4wHafv7ACWdUKf8ECKVhqZHBZUDVVDQcTlrBjjA1FZ+46BnqHsp1f
qQqS8hKklzIeTbAExl2p4cS9xhT78IpNDS4OkwDlP6k/BcMO0i0lkexTRjG+eVCPBfRjV2OQkyj+
4gX5xhin6Lm1BvNQwkyOiilcy9AdN3zZ1W6ArMwci0AurDdkyHLTaPwyGNhuM7FP2VHW8H2cum92
7vLi19hmv0JGL9rkocpiaIvl+wLhmXgnlzwNfa7cZMFvAjlQA6EH3WtVAyCHd1V9+FCjY+jRBWZ8
4G58i4NGS3e1uDVgTXNju1Swp1MNoU5bl008XGo3TW/N0mbOT/IeKRV4de6BsfYcLI5jN31CUaYy
C4vGKot9yIWwSja5mT6O43yL9xzHgdk3fEs5KeYieOjgZxeFuOvKqd2lOUx6A8Z2DGs77tVVXcXm
WlJdzmg0HiPBOBlVDMr4xKtVNbhQdZPO31BLsTxR4MBavXKH7dDLdB3VIL99Sz9NM/UVhXQ+RWMM
hrA0o02nYeE24eBtDT/c0xxxB+/PPITh3awh43HTB7s5MvUwVASrSMPIS40lrzyIh3DKEWp3Vdp8
mc0afHHE1JjXcbHLIgkmF8456/HmSM+bRp/TKhc1y1ZqLHoeFZ/I+nDYJUporuHpucaoK3jquZww
Srb1Jcmwi/BJsUxCX6dSHWcRPPYkFIA2NaLdshr93AXfY41qk2qQuz+QVzA13L0lb7qmIuaT/RlM
R6yVK8pD2eBpLPyALeiQaFT8MvsXWUBz8ZX3rSUhhlFTXJcTWVa756XsOqnaRCMp/jqafR453kMJ
mX7UiPqEcA5uKZkf+k5hLYimB3xQ3TGEbY8rHB9NgSMyi0p/Y2oEfoOhOTTJ2jVO7hzQWN6C1Pow
4eZLDdDX9w6jMNiYGmSwHCj7S9x8zIEz88uXEBrLLvDuuIv0zkksNm4wJk8gG6qdMUpMdA3ELwog
0M7K/IoE08BFmGj9bPf2rZyKt6nEKxH6IDsYvggIuvOzinT9SDi1QOZwDkwAqCvc1MCTKwSNYdpP
OSGNBCBo2LJmFXHkXfEgb1aNHzNVueXjUoU39FWcB0Xvz1CV35O+ebDs+Fha/tXo0/jQp1fLwmyV
FafYiC9myk64mlNGNkJWx6J17s3KG2mBaMYdJJwr36ZWQ8aA8mVk0Z/OFx5Eh25yrkzD/O71cgf+
Sx9NzrbSFzhi3O8W+9vVD+txo1izJz8ufNz8fBUpzHBQCPuXMmJVsFNx7SxrAPTVgz0N3XOl1PSm
QgtUsmeydDkApnG/RFnlnjCr59FtHuURYn9jOF/CyLPCS+om7H7Zq2yGIHwRMftdV9EjKELthuD1
cnAqQM5TCjpl4nW3dWvsw7wK3wZnONCejIsh9A5MVqy458Y84MagD6EK73wgLqpk3b4UjApGVNzm
XpQ9DYITrqgTjif8QdshSr8jLdy1cGQPpGR3c9LRbDRD/pGgDu2g/1rM43PjQpbmXbz3w/Z5CQZC
ZeZyGzjJ1ZDN7pqb5TvpRhS+cmKtVNwLJtR134edRlGy8+jCmzkzLXxJGVTXKKWHBihodiwrC4a2
Xb7LasQwY+HAoon+nGTphwWSvErVh+KKWjY4jRag5aEDvTzSHHMJ0NxUZ1YPmyI7+C6pzAV2J3aP
0b+JNAt9BIruAUdfcDmFmpYuwaaLAkGRCY2aGs1UByX3UGjKeqx56y1Kwa60YbDTYUHlp5Vs8XD/
8Nbv7dEU62KqYDgwBiepG1B+Js9h3dxWmvPeTDi/uOzgLLSunZgLpxvRgNC20OHBxGdeBSCnuTYA
LrBpYvTzx890giw/YfCZNGt+VEys9fLiAqEHaH2Df6lYW+Dpa82px9q1SwITUL5PGwc8B3D3EdY0
Gre4GhBaTLB6zeOqnGFGuvKBAKwNfsT55o1Bu5s0Kd+GKJpqdn6hKfrlrHYtWH2HBdp6SCD0ctk4
Bp7kfLbFKhvBhxnJA6r4ezPIo9Xw/6G5jrD7M5tftcnNqtVYfwnfvxDRt5RogQv3vzL405AmAK5F
X2uaAQrrHzrO/8yTJqreX8+TK4CGf6Zi8kE/x0m81CYO6uCXmfH33b7FH2m7B/+zPY3E/jlOYpgW
mBDY3ZsBjYL8w3/GyeA3K3AhOiB/2vJHqvBv7PYp3PqjiiklFziMHTipHYItfxgnsQUzPUaxfdMp
x8RANh7pZm02ImVx0HoNZQQWaP9+fpHWQoFU5Hy2NmvwYM42rglimqSxs+/b+KqfsPBhNLgYKe5r
n23LRnXjteJ6uWHBDeWwGnjclW9xEm3nIr/PoMOUc39i0r1vwECzQpy5wdZWx2bcOlOXBTLVkMw8
Ac+7oOgPyxQ+LVX6wmVeUpaxqLWnihs3sm/E5G0DjCUyb44Z2/fjQsMSER4O7jFW+yhbtpZff3fq
mL1m5J5K7mHQ8T/8BM5/tzyrroCfaHF42xYHoucUJQC4cG0qdFjak54nMXzJ1Ois4yw+WDwJmTnw
XVBjw4pzZJxIavs6I9ySZzBaprb93jCIrZRRcd7nPmiOlvtj1NzQx0SdakGXE2Ua0UYWVcYQCXsn
MKPwuvMg9MTBsLBdd5bvPma869HB5JXww63DIr6zwtlcxV37LYbkdUlpd3ADw1rxiJv3cdn5N12i
Csawid/aoNviI9L5WYGFOo3KeDXiP94nI4qx144w55SM7szIFmzHeGY3EVGqomRDYk9TRa+HjXtx
ztODbYMCMAhs7NM4X6B1OivbUy4vgao6FLjZNvT8IWQ6XbJzzDrcOeQ+qTDrLVA1drEt7fQsyuaK
ceEmK8WxnyOckIX/PVy44aaMaJRpJvZmHhAIRCjnfabrPs009vlBiHkryUvu+xTPdqpaoqAWALeC
MZL2aJHcszb190OtLZ44OQ80AoabccRo19m2cUcBnGYs8502yqOtxDO9nQ/PZJ3OE08WDHNboxg4
TalkO9HEMO0jK36cre6WIavcEq2fCaHVH1VOfCaJPXc1N4FzqgNE4EjAQJ8X/SOiP+bLBFToqYwZ
wro4KA/zUIYktXiSYYgSN1j18dTUTAYJP3eEF7JX/sQGIKa5aMBQmXzNqFBcmSkdCmNUGAezp/fU
ZfCg8oV500NKCViq2w6zOE7QYWWkk79pKQBee2RXsfCpOwzO9yDkueRYqaCMysqvuTX0B5fK5L5c
PuAgxLu+hvqWB3l7SQTmKZvSjLxtPCScKTx7hhwZLErn3jKGZ2xTPfv7flDhPrYU8h+pos+Jr0ou
BCPCOGXr4scN14X5UeCCZAqLMMePwaksLAig0yzQkoYjMjcRdcnwgyS2TcrSOBmOeUhs+2nUlp8u
ih8LPEAyLW8n2a0NQ9KZ+iXEKTQwQ74yA32b8BApbSYqta3InzAYDT+sRtp0lGj7UZSZZ4u/Laa/
bxzpFmHzvxZLfqGgTKzGQD4v2syUpAtP9a742oElogy9OFY4nwiJngc3AcGhTVGltkdliRbKxhgG
01yp1ahtVMwlx1Ibq2RnM6Fps5VoipvBiB5yXFgmbix8Y5yCZk2BJU6tBMeWyjxv22kT19hh9BRo
pAJ/F3WZ7RYyEOOQNn/luMA6f3oZPC6j0nBugV2yN9J2MeQk/kttIRu0mazGVTak5iGH4gQaKtyl
2niWaAtaqs1ohgo2LBm/ddqm5o4E+2LLe8P4VCCJ4GbDH/tZ4W4rB/eVoQJMFr63tF0+gDS0K3pw
DnzT+S7WJrlCLJvck4CxOWW0jQ7/KK5+gyGpEgejIVY94WTX1jsjme7KoTjnVmevaWP96P0Ai7N9
LXDtGZTjRlNM26DF8lPw7+577CfJukuG710i8YBNXP+q+dgXTrwdiBwaTnYXFqHBs4CeRJs0aZ/f
FYGxEUn8mGfRNvZK+pFQYoYiAV7Yr0k5YuQLO0mJCKton90j/WMmzrcusLDAsjkeIFLyHKOfHVBv
598mmqwZeeU9RQrt9sdI8E8u22FW+OvZ6KHK38s/6Q7VH/XLcIQZCzyCxORFyJHh5JfhyCFpZmOK
0JwC/Uc/La/+b/o/xUuO+eHHCPSf4Qg0to1JHKSgY4H9ww37N4Yjktf/ezgCkUAEnGUbXDXzD8OR
4xcIYoM13/h91N7SuVHcJ6KWryBprNM8ZdkbAoLc+f1oXoDrhwDmx5hpf1yeZTDRfGdW+X5ZRHLl
cQPcSqNvsTEiN/hQZ3ON7hptEZ5dFyww/io+nju1sxkAqm3NqlYHg5iUshZ2SX0MRqS2s8+EHcM+
LaGCsSvAgll36ksRx9GpatB0HKNPN1Zp6s2FX6M5zM+B1azj3H6fw0KeBlJ/O7omp6syq4JtW01q
zbYw5N1o3mT2gNEpyQCKeuCY4gT5n36zVRXYPSpguqAn+Gn6rabd0bnry2KDcB8RqanfYhWFdJiM
a9Y6pxQo31qlZXa0qOlc9460biMRkbOeqWy0W9xP5Z1bNeYWrqCx771oOS3RYJ/iGG5tTv8Izoju
mPQsbkxUS1bmpbMdLSs8eAI3KikV0tQYtJDlx7ulBSdX53B1weYtK8N1acjwUXOi4Dq1ibCNMz8d
YzDi+wT2NjA1IW66Dn7SLKf62MTdabDSL00t8Y7mfUmvl8cQgt4Zs9HqwYfzC+Ox1tI1h7gUwkdM
SUDPGpio3HHPLEd2XcMUR41VVPAVjYwxrjF57rN39DcTMcMMGqNnA+CXeOUypfbWmD9b6dQHZ0dD
HGlLvxkbcVtBdzSjTnLUUR1ApFtZiNoSEmSokZCehkPmGhPZdcSeZFlcIXR9czVKsvOmh5EC9VXH
2LjONHCyKFCYIVACF9gT6D2nkClrCJWxAFW5aGilF3q3c0inAzTLYiEb7cG3DBw8iosmXhI6YqP8
xFqb3LpyrrwQJPYCJbOw2g9bYzMD+JlKVvsKniYQH7wVIXJ7pWGb/Q8qXJPRAKEF8+HTQTKh9s0F
M4+hgv6rsuZdUSTZWRC+HsDXEi6pA9gaUrTqzEImOf5zGP8QPnTc9q8P4/V7/j4ifXScvWWf9PPx
6//9ecP9xYhmmb+ZGGq5czo2nirn1/PY/C2gPllw8oJz/eH+/+U8hl+BCQunmc1dktvvT+1D/ubr
e6VuFqDSmQP975zHSCl/PI99W9+I+ZtMxwoCqS+zvxjRyshnqh99RGYzjw41l7iYbSpP8ulqkCM9
Z4PVndVgVSxjFlQ45LgyZSFol8VHq5W6zujYpcXuNrCR5aLJs1epA8SUm9KiyRjWJta6n6TYbWNM
qrhtqBiMtTo4ap1QIRj6oX3GJ65b67n/ICmyCnsJ2dWvl8a/kNnCrMmG8EBA/xQBCcANAuoOcR2T
hbyQ4niKtIDZo2QGk8w2ZZvc9Wb7brnkM33Ez5E842pK4mhdamWUvc/FQypVWjNFzn8NEFE9NV4F
iKqThPHtFpfen+p1i+xatiGTnyhQXqYruTj3oOV2IjLeLARbLP1EMBuJL7k+17J65aS7tmOwarGr
9qNCRuJF8U55SocrCUXYoCQ10RqxUHlO8SE2lRmSNWUpJdUQqB2a83XTToroIgGvSivPahqup3yE
Z7dMYu9m/S5lP6eyEcsC1Udrw1pQWL1PC0k7G+bdpDVuOypvFaL3HBfHxCr6VSi7W2+QTzEAh23t
zK8gJLCuThiqWKlA8CoToIAJ3fKlJdk/LHetKuVOxPlJocXHS4Fxo7eeYLFRWJVbhEar4CYdpXWd
o+UrP3po2AqCWsVsMflX3pyma8Atu0TCzXNAjSb9km57rAT7dvBfAdBhsm5KPIdVssffjRWnqD4z
6WH7044N1nG7HP/BbLLd6OcDS+qU4zf9aFv7G3IezF0TKwwehsijLEabGmZzLLZkL51nnlImj3Of
OwAuiAo3BI65Y447wh3iXetH1OPmSbudtYXCirx57//wA5fu0G+nUbPzpq/Bkk06K5ekQCaa/dKg
5su+OTkGPp7GqQ+BR9amskJah3wJPdDxD5YRlUg96j2jriehuWzsCphI5hqnNaO8CDBWEllFKRof
uIfDbAgiInRywOkUxpJ71SC2PQViKx4Q9wHFtOzQbTxaKASBdw7HTmBNJCuTa96KlPmwJfEoqASr
KEXmnb5DhcsJUi/D1UzEOzTiTzvSw0VY3PstoVHl2S07Vr6XuJ+g9NFs21GNBIp9ITnNOyUt2L/b
cU35p3uOC9OkFjN1SAvzAyy9L30vTl11h/+GaGzrA4cswiMVmdcK/NNq7GmlsqqvTpdTmTan74VT
1FtJsGZjKCPb1Auvj8klmus0bgRMytjb8xpSFHnGr2N7TtNjV9GlWTWI/CEvg7EI3+dlwd81N5dw
ycSqtI0HRaC8FOiScxM/G1H2LRt4y1jE+LZ17e66oDkWRoH3wcakRhTmsSnD78FYYUNUvO7QEfew
DMFGKUZBo156zHJNeTYs5V5EWTwaCZtsNULh95EFtzJYwo2iTw0lDIps1JqIfdN4GduMNlMJfjoP
koe45dXsOlTltTnsAifkN65CVmDZvNxVIY4oLUMRDh2XdT0b9zZPaNYtvLHipQlXxoink+KukL0+
M2fV9M5BB2RHJz5lM59rsJu7wrGvIHI9gKV5DN2k2ghrPIU032ztZYH21VVAc29qJdrXLHA7ECdd
6aXrbkhx844pm4LRLqwdRbvoa2nSvflBFDvnf2aCHzOB5lz99UxwnzARdMnXP1lg6w/8eUcTDj5z
Ai4ON48f6I7fr2gCm7mEX8kGm7+O5/9/rmgOm22W2r6H/xxLBJ6H30cC+zfYIT7gObD+Fouqv4V3
DzC5/1cIhzueR6jHd5lZLFqJGGZ+nQhiqxwxOtvWpa0aJvizkRu4/1aBY3YF8WwIRlS9WnaG1Slk
45VMw7IT80wOfO6hK/pELW6GqqGCvVDG0XVL+zKArthMVldeFVgsHmYbCW1QTn2GHFR99sCnTlYx
ZQ+OmIBqVmlQrnslv5G+gSLu+OFOYCSgPJ7U35fYNM2AtwrKaztRERPk+8wS02bJS/cDG5z4btjJ
cm91HnyhgOQeKhAmJnBl+Lu9ZqMsLGuumRbrJJbZbVEM4aOVBmyxayOPH0yaaiKyK1I0yxHod0h4
g8555DMhy8jiLxzMcbBWo3BEG29Yd1bzO87P8a5thT9BT28tZxMu3mhee15NA4ebNOmTkS6Elpox
k5JqYCZzFto2KrQ7zs2XbBiILI8FlfB4ZDaSw6it55Pf16gGpRtvzLEN3Kuxttt3nKEecZ8YsRAO
IXs2o8HSuJ6T0rbx3nXpcY6RPzYVgwpwllEerNEVm0qmnz38oFPtgcG6uCk8Mb+hDeV+SeGHz2Sr
KTCLeWFOlyLI59L4p+zh3/Yo8//bZrbN/7Wp2vevf7K10R/4+4lA5lgygvPe87Vs9estAQiQY5ks
dSzyLD8yzD9vCQHgIAmd5X9yynq2/3lLYKFDoayASM2pQLzgb90SOE3+cCa4Pp/HDDQJiUwNn/e/
z4QmCpVriLG7MZ3qeeINtRvtZmMQCqQ4sWtvjSXERFp41avrQMQPdH6il0QM/AJJqTPGkm0EUlS2
lO3aDJ0XxgEJsMzH9yfoXlkc1JsioY7TbVGZemeoQP4HUKLRDhgJlgcM2t7KVn588mr5FHTlMYpj
Cqw0xkS61YnITXRobXnsE/VCwb3WZeoHwOozxsYkOAgz+qRX51HZ5hXSxHVlxngMolCszDblDeDi
k6wn45xPyX5uxIJNG8jNnL+FvXXqvbq7iqfhwRyjfBc1OJKHCVcmes2H12bGoe8Vs5By511QqW9e
5X1j/5ZuUCyGTdeMl0DZr6VVlad6oD6W5dy7NcZ3cYWUzJf5GZTFTUYDl2+Pck3vVFU9q3SOtpYp
9kBkCHCQbWMBvYsqFrUhUw+nyTcvF1ulc3BVXu9xYn6V7XQPPy864DDzV8XoRtsMD+UmpUV6Oxjq
BuwKeB3Sdgmpu1HH70hhwpmj+JGGa8J5LJj2+Tgdba//Uuj4XqODfOQgbhYd7fPNmbgy+sit6qbo
XPdqYb3uO21wjo36+zLEVDkxpW/paXVwMbPEdzTLvki4q4HoDY51M8d3dmY9sWpOVrV2c1jQlhaQ
SG+LCXEayEgwPA5eHl33fVmfFrNoAwSj7EAsHI+IeS+YUVd2SR9tyWWFbHjyrC8xqCaDv7L1ss6O
pLbe1mrjVj0dYEZ1G6XgHzzaEjDTPkqDmtApbb8OgzqYuXdyhpIf8VxswlS91G7yVdrFOTSouNI4
GY5qnBLSGN4d/Evr1LHfSBZ8MWpwblRN7TEcVas6Tg+WyRVI0s2peCQaFn4mTeqbS8A5KWakPDt7
oaQgDXuCP8+YMsrvZl7525GS2pWHs2FNA7JLZ1r6KTzj1QVlhQ/7Po/78zwaj9yMv/Q5N7E2C1bN
YFw1qr027fBJlenVPBX8tkLrOSrskh608DFU8qpP+QnVVuTs7FoiL/jBdWkRFJPTEyuJBVtZngJZ
CdqVTMwPklf3U5teR8AUrTCIYHSMN5Nw7m2e2KsiTPBgiyOQ3TUcs1PEsnDwpqvacD+iuX/2qdOI
Shdx1dUdfwe7LVa1mXBb7+ZXd4C6k0Z4FLMExYBjDtdWYyBOawUoVGOyHpP2te2Kkx2Ml8y2jpjz
nrHOwSOBDKv9vkdiZsmaFyy6rZHfI25+1HaBEpLlLeW6PrArCLnIFf4W9GS3BVBf7GDjHWDzUP9V
F+mxlLC7Ohr8LNRbfeJySomKcrLxtuK5zpWzN3fDON9FJg9YYTYHkx8BZ9KdPXuXdAg+XQ/adC29
J8tzLrYD9MgeEOPGmQrTSh9xLXAlSCwPVlDuconpy9J7uw4lnQV8fii4+4kcN1lU9N7a4/U2LNGD
MJ0PWSC4RJZ/ycY4BHIF7iDt8nvw0zBSIlpSZkt+WInMtqLMyeR69Xa2dQ9tQt8tJ+kOSsv3tl/C
h7Sh4DppxWOZjNTKCJl81rFx7VXjCEiJMyJJXqZ4vGmD+FC4/vdFceHqWW+gpJoo201N807nGsFK
dEvxUmAZiC6LBcG09/D7OcK9cv32MeC+im4nrdWyVF+I+wSsFUabBo7lNRwDtZJj94EHm3Kpob11
kvw6jsSN7YZfVDd8F8NQ8jZuT/libbPIyfFfundDtlyGwOjwlrUV33+z9XN1No0W68RQmnjsWcZw
tX20FTJnaJ7yKn1OR13VyKTNV7O84tu8dM38XLjTXT2lt7we+CGo4anIxDVxS3PVa01+ZOfPhmug
lA1cvU0WA4OkqdIrx1RPpRWsQse99aJuUwdOufL5B+XEciNzDxa56/CQ8xILzZPWwdJko88ZS4in
PkAeOrQpbeay6Dh2PCLUng2XU5DH8kSY7xkKj8vim0cjm45l6lHbk7BFwLdhHVFbkw05mmFb2XUJ
WAfYJeW6AkZWssMukv6TIf73VKZnob++pz28l/86D0n3r5sPrH5/MpvpD/9lNkNNYZAKLC4JvsbB
/K6oQXXkEmczGpn2v3kKP2czcMYBHwN5GEmNu9QvEBnnNz9gbENSM2ktZtr7Oxvc/4WQQcfzXUpt
LT4f178/7G9bbPcdZWDRDa5LVIqrxIn//Rr5y7q4P/rj6R3BakWWzwU8KyST4B+mv4ITl/r0WV1H
Gdp2PND1aFlpu5OFuih8DmTeQdnsF/3k94yaPhzR++4D60jWE34feBfZyqA7YhFqLkOLWXddDLRj
XDzPMNXW6QZ6Kc1ayGXbTSbhwsmsD1lcFNsWN8NeqWbZtxXe1kl4Yt/GTrNlRZTuba/GHzV6tylX
s31N0xSG2qjdJ1QSWduorVIDq/60VA9lu8TfixScoy0SDDJrH/LslnuOY6XQxfm3raidQmxjpzDt
BwYP3Mp1o5q7HutPmzQLUTBBy7iKX+1a0HwYo96B9KJ+NDvaY7MfpXeekALZDxrXQzw+u5n92ATd
Q5st56gcnz1SLkQ9G06qxDk3rbONnOYcx+lRRFF2FC2cYFZTV7hKMTkUPPaiam8m5OrMMFkt1XzC
S/9Wp+m8znPprbQzoU289BCUMWZi8yP2MpT82pZrJ2T17ufiW5xXkK4JGsyVR0FawIEV4XPZ9UrR
emuHyxWb9quR8IzCYNpT0L4vcrfdJPZCJxc9pVNyKSbX3oY86VYRAMtlaY84m+81LgPJ1OWJZWTH
FlMziESBg0O12zYuHqq2v4ptTZmcTe9zHlm0z200rU3L2ylcwislki19J9xfKc0qRhaIdUPfL+g0
kcb8WHvojODVMO6nrk50MTUr3MBdWboYEQKL+gzOYHPuLw35Mli77XHM1LyvcvOb4w1f6R72923u
FSS6CyOHbuYmd3XpF9iqnMRdCxCOXLeMU5ClAsuC+ZkZ8XHxjOteyKc+NvZ5jBfdn6HVZb6O2Z+X
wr8by3KHB32TtuG2I35feHSwTbm196eeqlabHzwhrENnji9i4alUs+LEefiFfcAFHB3Td6tObm7e
LnzSUZSXQk+/DjDC2ni3OorrDHWsnOVshyBH5TPWl8pfTjRW+DsXvGkrXQLMYhWP6gP+Mm5KDK9O
kZ1da76NwlRgxsD4SmPZWx5ZbzY+SNYk4swzDIKdc9PEhxkbyDpeBnJXS7Oj4OTRV92TgwNbRRkj
c0wucgQpYiYzVOgxueqr7MiGI18to3iujfiRhe+TUesunGkno/q7JdWpCYyTQsxZdal3atJgn3v5
wADZbQi+DkdncPp7Z0pPfH9Xbmp+IT2LH97OE4zcaJeWXafX9MhlB2UU1ls1wYnq/IpiLzXP4VPR
h9m9QsGAFsitx+GSiCumB2xsZBmRE12X0zN8NRbkp4m3Bb20bnI9OJp6mrdj2K2Hmvb5Da5pSTFr
AG7cb0L/g7GRHbTrPRsdvqqx867DGAE1zGsCO07Q8WK2tdw95FckpBlw4Yr3Jm5Mu8GdE434qIVI
r7DXPBR1hiOQCvnVWHfRjvX/q+c9pPzmNwzry0aqrjz5du5dQvhQW7UQW8Qy/eFEJAI97kW85QJ+
R+4jMC7KddM5A3QbnWFnLas5C++yvvogNbBOQ2xaqUVHi2E+hB6/Zbv+0g3ZFiPn/2PvTJbjRrYt
+ytlb440OABHM6hJ9C0j2InNBEZSFPq+x9fXAnWVSfIqJct60xympVEeQCAcfs7Ze+1NG9bfqANP
oD9DCN5InvUuftDCBpSB9ZjRz6aao+5DXAUyJ8wRbKU2csHhULlyMcB4CTGBh4X2lQDsfp3D8QzT
9oFicc2hB4U6JH2cqKu85GuOOuoE606k1RcQnHdSZJRvfXjdx8MhdbpNXQh+4F1450GQDDp+on1/
bN1k7SVYk6m8rup6PMnKfOh9eZGFxtw2Wpj5TLQ7YkitsV21BnVIr049AWeZmtEjfNQKC6a5JqwF
YkZcYKW1g61XAQ/29TSbh9K8ps3OHYwF2rXUuoGQuKspaZFEqYRh+Xsgt0j0g/QcBGO9yUIPrmoB
21YtN5JI2MlAqjT9UU+5+sS3DphkNmXk7TDDPzjoz9wxm+d2xFnW3kQJAXaVm4DUiZ4UW1kAmWBS
iY6kaNwntY523OtFMILFcjSHUnO4rHKVj2lUu1BVNqU0H10137aYm3ErXbuGtaA5O66qnlznBOy4
avTfXLVDIzmmjyoA/5kGiJkey7pwi5skrcdFlGab1msLgP7JcBACG5amHYjjfTRdgAYlJn9SAGrA
rgj2MsPozqpGHWOXnr6M7PI+VX04iap9Uh1Eql1aFFNSH5F2WHpX0jRfIFkgTVE95b7LTZ6XUcRL
PEzuTOdc/5XYEmzCeuJzBB60I8Yr99u789n5uxnv/6BhO2dBWlf/938+NqCmIwhNb8JGOYWQ+S0+
N6VFJAXp665yEYa3ZvQlcp4N+b1D+bfnnN8tMZ203k3CB55iM2pYQsXlTrxCk5/68Pzry5jUTX85
DX9chkk3j7G/KfVPvXVNawbyAAPvRPALm+NpRHrZ30Ax+fUyH0VW35eRHFoNJCCaYU2dxveX4qG7
1K2o9U5NMi6L0OdgODWKbxvj3LWCPkhJCbN7W/NfTZ5AfPH3pcQ2HX5SP0x/82f9IP8wgatz5Mdl
qqsGX8aP+kHYVAmq+qfqjkfuR/1g/WGYMCstk8Aenvj3EEpKCyQhPxIHJ93IP1HkmT9LStGnz8As
nrmS/ulh0f04F15r1RdJZJIpm8UBcdkJuqLLQUN8ByfN8ZlnLA3crD41aRt1SylqTVCjakNKWgjM
i3jPMKEYMEYRoihxFXaypDvWmwVKVxn7+prxSRLDOTLioLr0FTdstYXiOln6OJJ+ZpytpnHKdGGh
7zX2vZRd1WMeLMLqiXlIOY70Hnj/q/O+L1sHOn3rl+uwyp0jWQs+1OsSfX/XGbdFRuivTYFfNBl2
ByMKOfIVXbsPhmxYYYxMLyxQF1fCjLpnNZWSrTf0vefWKPtVXKnJITCjbBkbmXsRKsSo0Y7zNwh7
EpjLnT5cCktzt1WTdccoJUhE0H1YlG7+jTMLwZ5URuUT8lvMrLWhNXPflbSywOTcaF2RzLmD8sUe
Y2fd+nF3wEmA4G4M1jg69St7VONlr3vFLG5UqOq2QGAriT2nH6sOFyWd6lXUEHRm5CIHrl/Rop3p
Qn/ma6o3BR57Kq/cESSk+dqjPpKI4Y8jUr5Ia7TnyKjkvikqbztEYXU/1Y3MjjXtnOaOtxjtpDk1
JHpwS9NtAVvrWvC6jOehqtpHAmEc+CaZfzFMSSPewOFKTgkkDnr3ZTg69gXvZbkBSE89NZCM6kO0
fDFMSDq0bKovTTKp6chtZxgQaEddF/E4M/0qWkFXo9M2Ra+IKCOFvpDVGaNXvqgbNdvjVSY0lqQX
bNfjkiMYCX9y6L91hh9v7Dzxdn0WGHy20FKOASmUO7DqMc6YAbJ5XRN4WAxkV+Ye0nCSc8dZL0to
Q6PmuLu4VMwvNJvumAVoB02x8xMf310pvNKPVaYZq7os1dMw+v0utrtw6wV46jI6zEejyocrvyQ1
CO9ysRyCpl967eiuKgYW3vfd/N+dVWO/+/ud9Zj9TOs8/c2fO+t3LRy2Lc1w2MH4X3/urM4fpNsz
r5LCfBPX/bWzsucKejW8Hf/cj39MzaZNl0k654zvmrx/NDUjsPnD216qksYMA34ciGzjIDc/ve2r
kRKqkY154enpeOA3BfiaOAyoK0hheFzG2eg2mEMVzfRjGiWulR0HlXCEZQNTF3WOVOOj3QQq6i0o
KHR5CMwZFGPpKo0ROoQ2pVBF9BHjCHE7ddh4d12DH3oxqp4xtdotxcm3Fax7dDCtNPvLJqRbS8mH
WcKaMI5Nn95hRgjmqAo2dYotoqqAPhatCi8soIEPS7NauY16E8KILFMTqn0SLjBMXaUTRlJQTJO3
muO4T/Zp4R4ExMmhorJBv+oSnpism3xLSCdy3glTSb8CJI3Frhf3JOgEE86ymcCWbT/eJZAuBcN1
phLkYzRAMPMJh0mcCrFQib0rIWVqPcjMoGnv6x6IpvCg1gUqh3T4msRMIX0zW7rqE3wTjXE9162x
X8DSj5GCAekcppeSrWpLVTYEKzSgPDuYnvD+91h4sYhOw8fEFV/7Ps/AxVUYQIpNQK9jnsAIDW38
KbgZvjQSq3xYwB5qIqCiE150hDNKs2pVWIBHYeESJpFQYfFi2Bp+RAljZBehll0VRTd3LWKbYJn6
CLpnLdZ1YbGHQDolkAD5ud8uap20yTgigQ8ObwtjCCnRsswZE6XuyPl/AhGRHhKt7AlORGzFMZlw
RQxCwgMa9jUtpTvg6mQETXAjxjfBQjG9c2/RT0YbPRfAkFrUQFicyztv4iSNkdwj4riuEaOxa7eY
wsQmSsMrelcHQpIW0cRcMif6kjtxmPKJyFRCwJmrvXNWJ1qTXeiv2cRvEhPJSYJ0khPbyafhlOrR
rUWVPYk3s7w4KX6O0nrCRBlvwCjIUWGcfMFzthgQSTaq/qBObCmLQM62i6/7SNI9nM7lLugq/41I
NbGpxolSlecljLWJXOV33V1qIfgKgVr1wK0EkCujotXjgb0i0eMUVpJkDaYnssZ1TREKQKKbNxbw
fVg3iwzl5EKvm2s3JNAjmwhb2eBRXMLcKoBvNeb4ENneIy+pYA5rKqQShdQVtoYAJ9fctgFMDBHB
88oAezF43CHqeSK/nW7hxP7SgIA5pIIFExQMOJiiZ2dysjq4Vfo1B3l7Yfsq2s1euUCUdYTWBGAe
2FgfxHeBYaXrFAwZGWb9JgJM1kyEMsWHVZZO1DJ94pcxNH0gMYR4DCgE/MqgnDnIIBfwzNcI/Mrp
dLNKJiaaO9HR6F8zegSYFlfDSQBQKyeSWgZSLbes26xw/V050dZM0b8yubsKJw6biY8T6Bxstmoc
vnUtyjRExOnC9TQDxadFbnJVCzQ08N3cuLk2XeKVTYwnwCDxN2V5gLRvyOQcUvkm8von0wccV5tp
uuxNh2TY4ijAykV1ry9g8eG4nPgFElvICNCgBGzgZbDlxuwhfSMegD6wJgYCojdqXagIdq+ARmnM
K6PXjK1XT9L7iaIgtPBI42/HK32Nwm4Pi/iSTt4+icOtXxfXro+fb+IyQBU5kJ93opt9k0/kBn0g
VZYi2dw77IvsjdhVcUMugQp36xD4QzpRIKyJBxFXLmgwCBGdR8shaLsvzkSPaDKF3/RElIC6/dBP
jAlSRzjPQZ1IbD2bO70GCAQkhda9dhOhwppYFelgEPaXPPTE46yF01zHNBqXbpt9KUOC6/RK+aIZ
8tX3sDQMkQWfU5dbtcpeHM3gZK1+awUPA0HBN3nJF9YZ9AZkzFBfeGmxKhLr3MKa8SB5wizoyAWL
2wupRFdcKhw+/zQmhrGSRmGTQo0pdoS/gllIX/gMsDhgB+gh7X5rdLT7c/ee8DNa9XHwmnQVVhKD
TDTRjekGqvotvRlygKyexLLvR/h/609upFSnTPm/PyUdnqrq9ScxCNNf/XlOcjAaIPFH6kpL4G1+
8+OchJeewRUzKBzx/zEa/KcC/R4+RmHBIYqD1JuT7Mc5yfmDngLnKqpQlVH/P5tg4XT4fE6iGcJD
KoWmGqpBusLHdgUgsJ52stmdBlJoIVC2Lh3RxnIGCo3AXyI139djRKtqCNs2+oLNky6vUO2g3uZj
MAlkIbwdqsHpxmWIuQd0UZenGcKNlCbMCwMqa+LslO64xHSGP51qcdObwnO+fY/zGaqqKlc0sQyX
s804wr3Isw7LI3WqQgfFJEgefU/UodwYMwFbyXqLCko03itLwxLYPF37rWaJaOW/RQyVrWfI21gg
51kxwkeDLzgApaZRb3KwQpteJ8roW6fb/coLqfyWnheiAERSxXss6rFXuXb8HJCMsHDgiCB0zod2
qcTUue3kaHZ8jEFqQhe95VTz3EqKz3FM9HXNEdGfycIz1nLwv5mdgmkptb+FKTspWyFW9pz/lyuA
apW2Kdcc1bq97yFxsqmqZ16AYDmuUdNTIBHOa5G2pREOUC4STFCzUmUfaySNXXza6gZFuT8jDih9
EiQbgtrLvF1eKvHZmF7kcS+cNbldr5E1yrUeY36n922sq6wOlirCZGA/qKsN2cTnSG2qOS7wbZK3
KBw5KC1tBamPZ+uvfqVkG9KHeSwmD3rC6AyjnYev21SeMXF5G3OMm7lwMrKdIAVYpJavcyLXmMKH
LRSsEvFCXONrABlb7RC6YelT/PDIZ+ZwkJnZLupw2mH+XWiWNKh1u+HScVyCNB0gs9WkbMo6HOB6
adizrnHbZTqWfExbv49TzjFegdm/nOT1bocRHQ4Yaokc8E+T6eFaxGZx6aErm/VeV19aQdnOwFQW
5AsNA8kQmQbySnX6ZYVCfVYZfb7shdVMMULF0u3TaCPAPqKHD5PNv9vm27Y5TcL/fts8vqZfs5fg
pxXmO6U2KTH25MCyKRaRZU+W2T93TgTZGkpNOrlv1inaZj92Tixf6qTYdNhdqEo/6jJp3KEXYIyu
yX/St2P4/mHXnBDicjKCcZwyoeo54lN1aTH0stmAlBNUx3lTBzDKjPHV7QAiRDI2MQuoKwn3thw8
UonI6SivHKDjl5rVKuAorCy1rjzPYdLsiIG4kkqUmK4Ca3iRCsxpE/UUQwMyPNAKZ3SQbcCxFdMB
VGLGGvpJSXZ3Z6/p/fdEISrOCsTIPYNz9cUr4mReaH2+ynyLhD+QL0yzwVuTVNwvdasg6CzSykcI
JYLCloCt0W/lrkutXRii9OnYLom+0WZVo6wbrXlOeqKm2oJEx9iZ/EIa0ztlOA5e5gD6kUtyldsL
O2X6mJQMSR3V1tflMJBznuYIh6Iew62N6WNwoqXNXj7T3DJfjnoHP6+vzmEFwhn9TfzQ2nK4FoKz
NtaoSokugsLzF0BlLnHqUmprggI9zGgEBifEPi9V0K1MG5SWUcf1zG4l4WB2P65rqwt2qaVICM9B
v+X4qi4rWTCUosLsZnavZtwzzEl8LcoJbxQCIc8hezDT53VgkGtcyVnUZv3laIfWOq1w7Petespy
3984EYNIZn/8UTSOwYrxQYonRUdgCNe7yzali15/1KzUWfY9rGOIa0o5C32C22fEu7vXOJrydfsW
4KJBbtqmZYvptsqCnWsq9jEwaL4iF3CPkckfp0fBKOtSNP5D7DNz81PzySsTopMrZBbCcB4iUXto
7vJvqkPmDXGdh3iq0+xwOMXQ2ub+kHzzR8l83KtPzJ+HeWIZ6BRKG190SnWM82VbtoW102CZzttw
uAaLwNeUJGsDHQjwT3BhvUTgaQwd2ixwGR0foNYatBFl22nGsZW5smPsgRyW98xZygrqTAnmTGVo
LPW5VtG4zBkVH+CeIBThQTux2UKFLWSxN40sWygZntuy01DTjc2axvhj3FqLWu3R3il9tcO9qOMU
9gQHYte+iJAXKonzVVMq8piSy6wh003Rj1VuaRCulfxigN+x1UwEMWDJ4Rcz9ElqGd+oqFGXtv1a
MwwPYgvRjnUYfMzjJJ6uC1DnJigyrvkES/sgk+QR49FeiuCQ+ICsgka6x9SmkkjMXF81PnnDQ+9h
u463ZQgxveBLsn1rl3cTPALyyUyL7CcPyTJN9ODUt0Qs96nDCL1uE2jNxVyY8dap5dIuy6ek5AWX
oTck2tG0OODjXi5HGLxRMVfhbKw8Tb3Kq27hI2SzaNY7GN47ASODhpXP4T6+xQNy0ozmFhMEoBdg
QyZoTcfEpjR+ywtxJcdmazXk6iHxYcqs0xZHFaBEc853Tz5gaUg6ywo+NplY9rmK0is70746VN7Y
yfVXUElXBsmAC5SKxwFtjhIZJG7q8ySklWWIGnFlO29HFV+3m7zwir3ppudRROEWgs95zPpTQoSi
FXpbt882EIOwALJ8LNXLJO0vBrxn2jhsU7dZKNTuk0kNTv8G5sI8ycONWfUrRao9O1HwYtpANJR8
oxB/FPnWcsizU5qr9jIl6Zo5CRSmxjtrdbwIWm/TU+MnmXJo22FFOvtTgZdkiHrq4eQbh/e5Sy+D
ZufcrWNq8dfMba762uKJVOExQ9rp0nsJ2bCCHCUM1qhL5D7aCZbmdVWbK4O8dun1FL7OTRyOGmLC
mJ4j/vTEIDbddXgCAX9IS10xKv5GrPUFO9wK8CfJfPbCtEkm9Sp/qwtOqGN5r4p6N0r72jTze9uv
rjy0sU3yNR3y10JV/TkHvJmlT+ED+apyhwVCzqWv4gPWkXmX/jFr9SvNBWiq0MIs0TJ1aLxVdaM4
7cauSDP04+tQZodailsytzFrMtsxZU6Lk76/2qz4KV5Ujr0SerXTXbRPfbFEHgFiIa1wyNHBMQzt
pWuye/4pSKcY3YfKoLmEimiB3n3OhOqpSqt5aiv7uM62o2LR00EgjnVv5WNtQvTqFjiFBlqRpoWI
uL0jCuCxxpA35NYWSC1nVgMod11uUpviugdsNUqCTsP2vivVu6wMrzJCDl2jXwVuw72jNQsdyKol
T6e1xk51mWbxPh+ByihU8IG1sXv3hBFnmxrJrnUFsbAo9tMmWCXxcM7diYEHfL+zaU84B130Dzk9
THDXzVxz7Fu3NC+rsjqllbwiWkudMSm6bogXanP6EuVINIGMD7H0mFsU6qwDyVpOG9WY3Q9RvddK
uc5zPAx1Nw/1bl5106EnhcyX3k7GI6Fle0Uz/JPiqi7a7iC+rjiTzket3pWwTUdaZi2GDUUJv9In
uA3rBHheB3LBseoHWvLA5VHlYMWE9PPVTEAL1cU9STtbVAcn9lvO/mW0Fl21J1iV32VsRfNRFQ++
rPKVo0c3SVkzwOujdaSLM+gJopednGj5TmeCZ23cyJx3mpIsA4QYbQVQ0evwQQzalBlHah7OZw9Y
uNvvenrGuQKNqgqfapq/DLcAPhGUMsO4vGwaFFW+goOaE0JUN/ME+s2iBzPVKvbXlmhoRmBrhqMr
MomXaTZR3EkWoH4cV32S7ofa25e1vAGXy7uGWM+0wvcSEEvtd8oOpT3POqhCRGGlyLaxUh9HpXuo
yvylsculF1YO/TEUMQZMyETl9ffuSPt70cTbCZHQGjxCMF1ADUyT33eKhrorS1SFqXJSE9it9DOj
KwVB0K8XmcbD7yQN/1nEFELVDY622lTcv1sE7LBqQn5WTr39XMI/bR767JsHE4RS8tcr/ezAq6Pw
/LHSp0F15maDGF1W0uwL35i4V2I5jtuMLIHmMcjM+a+X+6QH+X5h/Jomo6YguP3ThWl21tjQ1b1z
qzzWzb7APxS//HqJn10Rp2UOyyyD7fLTEi7dMNXBOXCGghd262YYljG2mMQjyQPFTn3x6+V+ckWE
u1G0IAimD/RZRDMhgLVBrYNzkHqzQKc2nVSzv7kmhm6fn4cPi0z//93zULlKLU2XRcISjh9+bsdf
/O8uY7rMdyu09Vi3JUiOM8hjE0hDlN244JN/vcgnCc307X+4jE9fTR4NUd4mVXDuFQIj5dwJcDAg
PLMe8KCY1Ukju/fXK/7s22GczZxQkj5Fs+7jZUUBieApeLmzVVyitCIKY2v9QxnV21XR0jMhQPEc
IBz/uIYrdeKk2zI8p5W/TEx029m8i29/fSE/u3W6hVvQQHtggdb8uEjW+ZYVBGinyvwhNQ8+lWLI
ZuBgTGn2Bi2Rzr389YrTM/VpD2KL+2vFT18WXECnzMUAYrxXoInf4az+zWYgPn47U5tTCotG6JTX
hQ7e+bT5VBlTPL8XyTk8lNt6y8vzmM3lUl76V3JO6s3KniurX1/VxyXfCvwPV/VpSeQ2SU8LKTy3
ZkWZTJyfw6aQfW8A/a3s7ef3DnGdyptTmm9JZe9+TaTNmFadqOHZLcjggSZt17+5d9Pd//ztGLg4
cUEAmLE+P9h5pQUA9pXwjC51BpGD0+ZjYBCcHYa/uZaf3bH3K+kfnzwq4qwUlhmeBRMR+1K618X4
m+3t50sguiKPkV+S9elRC0TU2gZ2xXOanmTTM7jTZkyafvOq+9lPiIftz1U+ffVR2SJnxhZwDqIX
on5cXVmWjGEYNkf1WcGjKX/zHf3XZdF6tyza75MnRRjGp6MCchiCYawsPgNnIbER9msxXv36cf6v
B+3TEvTS3m/baetxQ/0iPjMQmgmFjKxQ/ua2/XyJKS4CCvDEB/64RNj3SP2ptM5V/KKMW1LRfrPA
fz3KXAOBOZLfCY03pCIfF2DrtDqRjsmZc17SkPkQbgM01Knz+nav/pX80PT8VVcWaOpr+TowuvqE
1Jr+7sc4C6QWPVl+fhMhi/4qT8GfTVnxhwMYC6ygaf5nZvVDUGn+4QiH0Ecs9rrFv/ZjljWpKfFj
qRzDNJNf3D/qylpy2mL+2uzQ/Di89ABz2brOj0mf1J7vn/IkRzg4gIe+SHTU6zle90WmWg+W7S0z
q7nTavM2Gi8xSRM5JZZaYV82tXfrxiNpRjpZezmVU5EOR/OAW/ZF76LbBPvrQuhluB7K9NmsaaYO
nbfFzrpRPeSX6CTo85bu3AdXO8cy/qikbf4sarw0OkSeJTN7l0CNEG4++d2uV+7SjlNmqPt3CaV3
OjgPI+V5nNsloUHF0xBGl46vP5WmuIeAo81p0RwBnWekgEXZIi8mkgw9T5lk7d2g2o8BRq99mgt3
KTpp4uQKb6MmflQHa9yCvdu6TG9ok2LELbTHtkouAO7OB9O6dsp1xOSrwAKCgq+7bfzgwQ6UTadm
d1WpeDtLyxdOZcyTtEVoqa74Ji76IbgwmpGOSTnFqPhfM2IxkUKRsWB2F06AxT0LtK2BfbSoZ/5A
b0e79opjSQurjh4KDXsRH3FdVSCha9EuYoPGQy2Zr0ShRnFtuLMMZvGmNeGQuJ1OIakczCTrNlkN
PcwNmmWXhbTAzAOJAuPKIB5lStveFFn8taT0W9Ralc/8Ul2XkL4IyW3OA8RWNaSBo7ptClWaJlZA
nzdOWS+m9yK9kbNl+ayOQ7CoVE5N9rjIKFp703WmkI4D5fUpzp2LJDcWZsiIKhvCQ+dNgEpcqZIx
Vm1MyGFVAsifgj092lxzc9J7A9BGUmpV1TwIargnVs7DFjj0TxMCDmrridbp1sNPs2oqOlAqnhka
/5edZVZzC96xWegvgxYWc+zOV6lAAObzzeF/v5VMq4oECSgvSvtQKGIb29kxD/vHNum/+FX1nBeI
JEU3uIvRNNF+hE2IEwyVTRTWeB5q+FhFdNcE5RR+gKAh8JNLtzJ0IG39JhF1tsKjkDIsM7sZqeM6
PFzSKehMJtmekK6TgXkoIvpQipjeHE2+vKWtPsQ6zpv0MYYTWovumI0aA7c63RHkcVCTbKslDe53
bBd2az+HaGId3yOMRotnpk30aBVc541yS1G5VdNs15TGa2aa20j1ToqaPqZVjAsBMgA2j4Ohl3so
n8emjaa45P4yJgWtdwOiQk0CG7pN7mTY+3h9D8aGZtvOM2hMloO+z+Nu31XqWfWNeNWMJQKa+r6z
EOBUxohGqD6Bi0iwfVi70tGuZJDvo6DdGBFOpyFOmi0a6pOhlkcvt2g5towjBpAbnnZdZdUd+o69
24dHQHwL3xuuUjVWZxE/+ij2V7wa73BzrqUHbNwM7C3RJGuz7cgstWqML86U2KZfGnRIGYxdJkqL
wU+Fetpg4nHUe7XvJgAwCDtHa646X2I2aVHZWDTWeD/eN7UOQRjhyVAvtH5EacgYAe/T42g7607B
bu6gOQrah7TE1CfVb2PlwRIKENJV7n2gchAH3qykyZUGenGO/DbWVnYm2ft6XQdyjRq4NOO94xHJ
igWzrxtAD8LZ+75/Mtp473oDbqzMO3YuWTmBkz63GMFnShlfKKqzLjLnokwxedpdv0oKVSwDKb4E
ojn0wrjTI+VCuOH1OH2Fui2fc9Hza/SWutbtQf/d9Wp7AsJ7oWKYw1dFBs7QPWlENwKt92hBF8jJ
ar6LUshV2njBurCTx1zXjwPQfTpEJWFp4TqCubGoTPGFvvKuAL+OG3RBzuclmYdirhk3lke+XDA+
Y8m6HmXtHVJZ5Fuo9ld5QipAqroEvRKFOcpHkZtrhOkzQydhNqxNY9mVvbaJ0GdqmvcaIXeaUe2p
+wGrl0DDvhICTpoa6GtIqMQEx34+13qa3aanbqqkua+64LpAtzo03o1bVhsCEZExdvaXFEQK13zj
DfFdXfjttjfOgN4XodrOtXDKV0x6zGLZqas9CHhjtbDNdqPEjMVGm+xImOqx2JSew60RJ6UoU+yM
wyVUpetowmGoYO0XdkmwZSuw8OvmsYp53y/jCuzGsumK4ItMgprN37T2WsoEKLHjduUXJqoBRlyB
3fLrRHDLLHNmllzSMOQb1E9ry0uds40zlDFMmy5HBTqFRoQ5kettP2ub5Bm+y9IwATzyhmHSZeti
kWsxiAyyzrN6A3oFd0SMjzNrnXYXxj1cE2X4lpYVE0vCkiJoH3M9LDHZECq7lHF8B8JWQ35qlrSj
7XQl/MpSZkloJvMy8Q4MTvJTWoj6PhQWMbqAMZVVY3fysurSkf7tyASziw07QPZhiGXejWBjhXJg
SLpr8+Cs2dHK6CHUaeOXpHCvvKJE5Y/fx4IDosU2ueWiuHc7GU5d0mUpIO7jlF03BlHQel0/tyHC
ich+MFz92HZM7PKALNx2VbuSJlF1Q7t+WNiW/8TO+kXVyw0j5pMq+1c31Pfk7kikKDR0AyRslaLf
k3W6JwL9CKdcR+6V4M6kU5zT5m54RZcDYx+zdE8hqt04yq7qKiJaMRm3uWceZB9sRDkCnM+3idPN
ZKZGC4gXhMCEOmzP5LrueWFkw7AAF3mTxsQ2Jkq0R0G5VQmgdZBhchRaa32xrV1nrUQ4Q6xiT6jX
nTlx81KxK3XetLq9iuz8BZUnYGPvsnc5KQxMHUbXXwJ4m8uifk1856CkGBZ46Pq+2TdO/EIqHS57
DBKZGlyVGnZ3LZiDRBtmekJCUa9eVxGm8DpVlPnAaGSwSLAnJNgF4+i4EOQbp1rVodgkjXZPITmP
Q9GvpML01lIGjhbFLEhhJw1xdB/rzRy7qgd+Rls64A1p18VbJQ+/oEtZ6/Z4VlvNp20tbgYSAvQw
v8sAzTJUg3aitMFXt8xamNFds6x9/aKT6oXr6Y+9WptLihbohNY6dIKtE6jOyvPcfRuNr/kgL+oc
cx/7e30wNR4WL+skMmnk2kDHxNIdTPuUiWyXGohjY9uE76pexgboJHBAhDDpq6pi3OxKX8xK/DQb
fzAfZMdM12GnoUPf43mzGax12V0vx8tcMR/ACbgkPxf3KsMSRD3NKqramHY6V227YuNMW0/B+K/N
YJZ40BXnMo+OxHcQnaaMJ0Ur97iYioXGaG5RlAmyxx410VCkC4P/GqJhIdri2gv6fI3kZ4sAFvtx
3RzGcnprS+O+F/zQQhU7cNkzJSsG40JEwUXURXMDoO3W8sfqkDN5mQW9fodqwdt1cGGcKn5gmm5s
pp+7qU99rpS3ORW8/mD7kEVy4xJRfHBw9BRDT771cvVGI79qzCQkk65BlZstVBzchacCJDHKmSeT
b6SMYwfVoRjo9g3G312AXDVC297GHSohrb4fRHHl9EUKuMm6CIV3kVghwBlj2Kd9+KWInQej16/o
bmd7qYfpsvHMbKXVxsOYOFtn8q6HaoCguOUfViCtZiKoFzmIrE0Yx0gv3hAI3hsOoRehRhlRQmNY
2t+ZCZFuKkvtO0vhXcV3/l4q/cbpCaVUswTveAQ0n72LWqCqvaalwSnMKazTYzX2sAevf73Ipzp+
spOyiCkME7zv1Mn5WKVFbl/qSlUFJ3XYKulRRTCnGDd1d/PrZT71I74vY5kEXNJNnpIlPy7jqqpD
FaBycNe+ddmtov9mwPOTf99iOAHpbercyM/3qnIGUGFmEp/SjgdtY7tP//jzW7Q7uEPcqEm39PHz
e9bkNpDEcMCNSuRZOt8xoX/be/w0//iv+/OpWDbMSOBF4f4YyVpJ5pFYldbCwDzyGoeLX1/KT5aa
Upmm9o2kz+l8+ipiG/E7JJDoRJgN07YahtSEjybFdq7kv+kSTR/7rx7Am/32w9dCt+F9D0AVQdJa
Zhyfcn2OmFxSd9WLyTDdrv75Rb3//j9dVGqFDkOq7wth8SCMqPdXvEemV3H+m2dt+tCfL8qZZm82
b0dd06aW5bs+sS7h1/HiTU+VvnJBo/dL6b78+nJ+9ji/W+Lz4zZWkrOSVNNTaj+F7oOh/H88ziDT
DctwaEcT9vXxEsIilrWhaOkJEJ2DGyEewvmvr+AnNwlhH0pruj+T91r7uAJx8pzvTZGdRuupsy6a
yb5UX/96jZ89yTzElmS+Ms2oPvVRHT/J08EegYRz8Bvmk31IXrYltooF1qB/vBb8SI1RkWVbDHM+
3THfxTLshDI9+VNNDZQZKdfSKjCIrLWrt6X+bXlqbA9/L0S9eG2fvvIc/1fDk7961/BE0jqp40lR
ZjDIE/Gu4Ylte8KAIjPFZsgO8KPh6fwhNRPoGV8fqcb8+V89T8ChqhS0Uybt/j8UoupvBvG/dgZa
nhZiPRqfbKr0XfkUHx96tyGoTbrBcAKooQ9WPSdQDUdT7dz2o9bN1AFUiaOlB2zPV/ZgPA95rMwt
/GqzjhCVGWmcKtQkZ0cq3f9j78x64ki6NPxXWnOfVu7LxYw0tRe7WWzwTaqAIvd9z18/T4CxwZQ9
X3+FNIzU1RetbiCrMioj4sQ573neU01m7eol8xZ5+3HcOF/GsbjSuvQBqcaikEzRjW7dxDlkb7sy
AQl241JWkyOUIWhSoM4hiSTWlQukSWwGpASjL6ZnjguNfRIb0YJkoBuDbDeuo9j64g3jLTp70nyR
s+qK5ioK6rPS0U8Cos4lpZKLJOqvsqz3Tty2Psg62uEHqTpUbA5NfYopZJ9xzyA2bWyn7Gbd2P6C
0MNFuIZHvS99bXIOCPTmUFg8YROCdOqzUFu4kblphX4BkzI6yBaFjQpWozMZrPA9PXunVaSYSPGL
4WKEvBG0IBCVvMIQocdoPtSCKb7OIBRTKZw7knGTjBHWr51r4UsrxwdWFjizolOqmYTFGAJ/Yewl
Mp0YLDiDjn7VGekcpzULtRonFOMLbVNFNPVoTCNMb7wa818jQ9XSm+RJr5SuA5qFOrbwZ5yNZJoy
Qorw5GIh3KGP82KYxxk5SFArR5z25zAfl3Lc4y/Ygh5FyodXnrfsZb2dWiNMZRe9l27lrRCCbvPQ
OI7lyplQ2v826vQ1IFTguOE2V3WafgtQwrl40eugUw29Wg9Nc9iXeDWbYbrKVEBefpQDG7DgrMr4
iUak1nxf/jro5kGSk+tMjGFTKEZxBb/z3Ev0cwX/sS7v1o3aL/swdGnxBLEvBe6Kujh090I7HJoI
izUJAdggDTSMJ/YXqUUZaRbSonNU9NQtzbK02Nlutx4dPHFwFzInupfOnBYjvLbIlwGE6YlsjWep
6i60BjURve80CTRfRvICsaE+ZBpj5oace2wS8W50hTDtxkvKs96ntaqvbVowx+uqTBMu769I5+Fi
Qz4r7euDpLF4msPxukV6yRl/Uw/BHFuEQ1oScfLKb8ygq2cu+B9hXEOusowvG7288tlmJ3kD/l+2
okO00fN8pEG4tm4Kh2Nw2ZjHZW6dj5gEARf9qiB9XcoDkt2m+WbY3rlKl6GlpKfIgU77HBY3zh4q
vbE07hZmejRG7YmqwT9K7yMaLxvOF/Oqc5dZ0AlXbJ0mS2M4C0xjZoOwnzgdFKvaqq7HBuADNKMN
3ocpngsRdK9KP1BiD9h2O1yaAqfVZzGYntK6TFPvEGnbzWj7x7HTf9ZUaanIEYydwrl3E3mVOIC1
TKtYk9XhAXSFGrKfu6G6NUI9Z0IplzzG11ZNjwiE3ZM6QFLnaFg+QPzCtuQsc0lAJZWiT2lrtDDP
BTwWmz7J+JrsjhH18dkQOedRxLrCwbhYu60vz5NB6Rap6dz2br2J4uLMBexGw6/hzkDb0RU8FFhE
hcZhblf62ajZS2nIfFwa2iK8yFPlzh00mkmiEVfO7EgbvVuFnEUTNwOekI40ryP1xK89DIlyv0JA
SkLJiepthgcg1m4+TPQoFyLjwpnktcMIoMhjLYrLqauXR6MCElZVcIxS1r5fn5fkvZBkamtz1E96
iLJZwl0GUTHLax/Y5ijpM8rQs9BPGvLB+lNM/s+WL3bo32/5p+Um9bY7tnz+6nnLxwhAF5QCmmJt
XQH8/3PLBxrDJgD8VzVtYkCTQPx5y9c+UcU0wQ7QsUIF8rVHAO19osWPyxqov/4eNEagFV6cBjhp
EuFyfYcTrIrMRwDLX54GCpPmr86S3WPM37EIHePImSrYex9KfSEfplZFp5gkD803PfQPAne4sT2Y
2jkUeq0FRy91RmetoB4k7bzQ5HAt5wUtT2EQelNgCNkXrxRUezpvINxTzcqRsQvufZeDwNdjN9hC
B3GhFAs6vkHTFMY+GV0QfbjwYScUGKhUqjONSx2L9DJEek6fvDNxIlqW3QZqeRTkWDiGRi+6WMoH
yfYgrUT0CRuBSx5eZRGxFbLHoolN0kJngeyfzN9AG5lfIqslcZ2P2SGVi+Nx7D4r2njkt44Qahxh
pQLS0V/3gCanhgmfnHStMc2qtpmple4f5bq5lHPpLGTOn+eufVgDj56aHmGIR2LmKMXCY6pKXTQf
TBohSzr1ZlbRnPZ1dSpFPep8KkiTgWQwa0Q39yFDOCxNtQScQBvKh0irL4JYvsAuIjFIGNXpmVTA
1dV0Or+LfOHlpn+dBezEQBZd0GUIUCEyapn/gHEnnj05WUs1s0lWNkQLWnIhmUa3yG12B6tAU16W
yZIWc2eV02ZEvyUA59EyZ6qS+qet17Gd5mGDfQ2pTtx6cU4lRYyzCewKuHkO2N9cBTAcSMdg2hY4
NmD32uT6VQW5hiWMhg7WtQV2VAE16WQKTBu8c27lNwYmkxBuJDKWk1T1qmk1UBV/MRX/lfQTE07o
oKDqE3CTMHj9YIey38mRU4UnquznCy3u1I0/ME7dEHG8/ufI89h7Z3AM+f36d9Pc7jjwiL95Xv3o
SmZhETo7mttYBl8feEyygkL+wSJnCme059UP5IvmcDAGtcKvIAD6eeCxEX9Qq0HmodIVwVHp77Te
0a73y+rHe2iWYpJJAPKLIPmXvEtclzQFZb18WofZteukxtKMNOkQa19AKyR5cWKkDatJdeekj9wK
qBbdeTXRTJlhCNalPWl+QvGjUkj1dTui4NuZy7ajN8Du8+OSemnecnqp7TulxccKcxRsIxtRQ+/W
jmsvKOFjygSulcgmRn4EjsSCfdWl5UoP/PSy8DyKB3l+Z2LElTX5VanQE6EnWkB5r7iLaYSjngnX
uui6VZ/3GJmNIgwh+0Nbg66fSZp56JqdM68fo5ZOcmeSiGRiQpqB0IYjwp2b2PAfh5TWZRH/2OQ+
JkUmnWN2FiMrIEpKRLwUa+ju3cGyZm5g6lPS9WD13eHM73HpLQm5KkIveLIntojFcj+6DlTtss6c
fCYRruWRQdw2elclFbsAD8vGJFubjMoKweK9LGI+OttWEUFgKofHHApvEoJDmFSXSphbBDHEjaUq
X7L5wC/gS6h9LCpiEWWqtbEZRNxZEYDaIhIFXaNMCkQsnS6f2SJa9cHeBw4qCinp7O5gGGBR0lb4
IJf5gWymJ/YYHLY4Xq+1sDpvTLqqekNGbFAmiCdM+gzMGPe7PMbWJeopFkpNwRemYmXssElFKzsr
qU8Lm3FHzYclihDiXRMqcFo4xx6u5GrREiYLr22piWi+CAzYDpiYF4P6EBNLm5Py0eI8FCdMNqdp
mgphTAR5tjaSaJHG2Ch4UXbqJximyzind8JC3cSOZOIN2UMi7NUrCjpNqZ7kWZ4Cu2XFpQ0Rvo+w
ZVcMaRliQgWvtvlm4txOsbeZlrQ7oaVJZ6NKTwH7Bn2ZqWiNrMYvFq2JBNW3cH+WDSKpAz2VPivC
LZ70UYN7fFP0Nk5XJmYgdUn4icd8biYHPS1oOt7zgxKd6lrTg2Z2kMzgTy/jU28kWA3WdJNNfTzs
y9oz+NjqkZurFRThhuNHITyyZPk8GeoDmSp1EYXnQeDNzSa+6eTyFlPYjFonx+KhomG0jJpZaXak
zuT02LAZXEOXDmgw15emTGmpcQbMBD3rSC6UO1ul5aqqh6+5Rndfq+SLnCYsXMzHYjb07TpyR3na
pjJOfd2tz1hTDcLuPjWp6WVqfq2l+bGDK4FpI0zytWpiq+5dLUPQLUGxSnFXTDmnZ2iQON0O9NoN
ThxN08G4rzvjuKOdljJ3eFS4pYrIIMGNVBXW8dU3OywOYWNeKdH4RZEqCuaoWEadPbdzjrHww2VQ
bWbe2HZAYKJju8DcrRnlc04734bayU89WGrToJf6AykapHWWdOUs5RzfRsWF3khbP4/ObTM1pjlW
bnRgam61di2uMpY+yDdLn5duQRpDk+J1kkBUkaFS2bQ7TAv8AyZSRncPUjFCFsr0NNpZp2FGAw6k
0RgDbZpWew+LdWJhsgIycDzle1b2n3OGyJD/fp89i5tkU709Z4i/+rHTyp8wGiVbzXYGAkSg3V+k
FnXElAAqaRhRSSD+2Gl1+ZPOjxRSfXStPJ1OnuWUZB0dhLEOJHqx0aK0/BtwSoSbv+60qDJVDjqk
KmlhRFL5OhzTfS+FUz4opwbcm2gVtKAhCruIjkM3nupj9dn2x6/EsMK5I152nvNVCvwKfywYPJm3
dAA5c57tWS1yjilZ+RkDiyVWZoeNi6gg6ddaX83GZmWE0k3meQeut6DF9lQJHe84Cyp7ii2LM7MU
ipBRhQTNHMZ7smjUjhtSPnQB38AMiec2vjMLvatvxixZdaQ/ZprRnpF/0eZFKgX8XD4cW/g7GK4d
64Sd4E3iL6mE6WNSytsgrx66Ub23JbQXWRP501LtLxK7x7Kl12+6QfpajjqxNmtNaJuQw0eMXMxh
OMTK/ZyzmOjnTYAbQoYmtuUX3eqBaJkle6zuylaZ0dIHtFwNgonr6sDT/bKgAq3dydE12Ri/MgF3
y9PA6MqVKTp2XKsuZ+RUBx2LUToeOYRpGvVhbehQ8Gi1s1ECHQhG0JcU+NPWB18EpQIFfkFqEF8X
xIj5nCMa+d9HroVqxwuySMDy1bbEIzkoW5BwsDCQKkLFGOPycytIGU1Og0gu6Blq5XLiEkQNX7A1
EkHZSArzOhPcDfbqbq4LFkeWVdG8FnwOeMnJ3BXMDlPQO3g28UURRI8QtIcvGB+OoH244LmOWWnC
Wec0FY7UrbXsBR+Euj1NPYWghkg+vGslah5UQRQp/KKZFoIygi3PbVvz9cGKKLBrJX2twIycBIJP
ggvX1hHEkoaoao4ej1wfOJNYhmuSGWF8Zmse5i2P1BOJXJ2jpPpSF0yUqK2MJVzAbSJ4KeDV/Ekh
GCqWoKkwchjpCsKKnaGuUweoK65M/0QlSCwpoQCZXIFnUQSpJRHMlnygwSurSDZWAguD/2552AnK
i9fBe3F8Yb0kGAk5ZLw5X54+cSvjIaBwRn+9T7Ouri0FaRDAjCDKhE6O0Ytt67cyxtLkZRPavAWD
hkwl1NVcb+euJxA1oaDVhGkDt0YQbEoW9VU3Rmk99+njlWGbQruBRFiGDzHIvpWtKOrnTCnQbdhW
dVizhaKlJGNeyv1lLCkectYY3r/mREh/iy+D5HhTeXTBObB7zCu/nxptdSN5xdc4S0cYPA7nYSzH
5m2SZag54P5YQ/hFSbOzsKiCbwNx1ET1PR9Vm81WlqP9GJvPMKntiWHGwiiWlKHTmFgntN9IMSw6
z/anvSM9dGEtoHbBjSaFB0iGr3uwQkv4W+Y0TkqxiDjHDMW6iZyHjHkqibNqndiXsm2cFYp/kIOe
n6RldmLJ+p1qOl/bWMJVsOzP6rG013ZZrrKxuqhG56rAWnEu1wnEl6acg0PAp5cCy1LDAWYapmj6
bLpPO07Ape2fezIBtuWBUW1irTg05HFDUlvQj9QVzjIHkeWe2lp3LPV4tg3AhpkpQTlJedgovsR0
UCP3vA1tUu1mVIcrT2uRZOmNhuTG0Q8IFMHomlkFNC+5dSqDNUtuUsKb4izrpAsKBAKBFgUHHno+
UrRePo/wReQjkQcfJLrS8541yc0673OC1IC0ORrHR5DPKLsuKUvetM4Nfx66gbOUicHPY6/MZ7aK
JpIVplliKgAkwuidZa4rw3wMfRjkyKFYYaxh2TdDOHfxg0IrluhzZwxh2pXGA+ka0Oj6uEb8eEoK
/DDRwiOadpK51snqUusA22lAzBegcYOFD+xqybGA/ns5y1Yq5m6zkLpC4McjyqxAXapaz1KP48/K
T5i1agcNJU5hqZDIimkWZ5WSC+pGXcqdGmVrrLBpwOM4VMwlZmK+MNZFL+3hVgALGTsgq2v+SSk8
GfrolNp/H+pcBMgEh6x5G+yIv/sR7CjELRzXwfIj5Tasl8GOBhUWLgytlyKvKZA939MKuipyEapB
0yT7MvIB4qDvwQ5xkINBu4P7ji47j3HQ3wh2lMdq+qtCqs62QfuKaGohtwvY+1VSVXEbeKIc5s76
UrYWaat3rFA6Z0m9W/lWyaljoBTVyJ18yk3Ih3KcKPiLI5BEdi9n1wGN7cckVfpJpWkF3ZamvjL6
pjrpIje/zzGAXloxgb0fW2iTPVK409yR6JdIFKk/q8qkPi3CUL+RZLNeKC7tT1OmA3LT1E1PIi93
CFD886GPjVNPwTpF9fxuOdpmclXbg3EDLKW86FSjOa4r31pHjUCwWY2E07YxZF+0RqYdQ6vUbQbu
6xq2bbryjMqZQaSpNi0NipAjbEpYpdMtrRAnWGx08s8d2rW4oTfBC7x81mJH157Ssq+3dwiyff1Q
QaM09AtMSpolliucV3TPCX06xGNO2oVbpSW+h3nKcqT0PlwZB0vnrqGBa6y1EYC3zZ7NIZNTUK+z
y6B0TIG84AU5M1D5BYemlNIQETTxcIvevkiY987CKdz+xuxibTNI2E9iDGSmC883jYOhMYeLusvG
jWYYxIgpijb2XWZ/4LG5u3nr3ZLvD6ZyOo4bt/LHLVLh61IqFqkXHEjCPzBRzHbaGWW+kvLOU8A7
NMMygn596Cn1cBRlfT4zaod8AiwKzG2CzgsWVVJrOG63lMZBtXzVrSBex45ypUWYvuQS8FRf7tqJ
YZc1MV5lXth+nqxriTp9LhfmSe8UMoi3jLQAeRF6qtFublFhOreSBc1Ai2vQHX1yGtqKNCvrFnt7
Sar6eRcXRT2j4SF/sKSM8mzupsSkNopoeTS/eRSdZqNjhVe9G4VHVqiTpIHrfqOAO552I3L0KgLl
OTa9dMjD6yGFxR449Er3GpVLd5WGJarvrA8uJNSbZ35LMStFvhPPUl1vK4jFZMJbgtZ6XvVGNfPQ
4lvCidDE+lbdOmYLZFY7sPpO+4wKGxGpnJnKlkzHuCgC6EAOnTyTGnD9P2vx01oseoR/vxbfZPEO
RwTxNy/WYYM1lcIWWVkytqiKfhw6VbysYafRjYr0U5SpntdhjRyuKrouEa5oitBT/liH+RFNd7KJ
Sxlr8ePC/jfWYdUW6dtX6zBABuTgGnuBReDp/LIO1yVrTqyG/SlLpjTJ7XpmueVlrRKPhSoNLSPx
5CUV5PhUrZPkomrcciXJSrNqwFNQBgMQ4mQEqYWunWiWLlONSvrpYIVbDTegaY2A7NAv2lun6fLL
bCApFBVxf+YAPJqSybGmTuNmcIvbY4AvFmpyZ9YGfnaaeMKMtEu9c2xHcS8EPgd1noClUpQrMqLx
KkY0TrhOZG/AoRnsS48ActHrOFaZNAucxkGfTCkpfmOJ71aOaOYY1eCq0Lvs2CeVu6hH0NnAhPFe
YAhOAwXzbRTjDr1tGat+pzJTEoczbo7HNJxuakDpCG/Js66zCni1DmELjk1y1BSsWI500xmKAvcN
K26OQFPDJ2na6PPI8uS56rUHUSlhnmR/YTSPM0DiyOUyonuz4cQZ+d+MVqcDDitJ8ulfPRrF8KmO
wfF4wGW94KLWySNpsYQzcKpYlNC8VTTigiOZyVbzgKD1qXlglujh6zHFa9QIw0UtGZzxXcQIqTGC
SkZK7pj5RSa5JzpLPOncFV2T+Hzn2r07VGdSBQA7sukiwVuTXsXOPtFGBOKjO54YGV9pjc9sMXRn
UaLdqlr5deyiO8nNySr6xN5xf4osBw5lrtTwyllupE5dG0AgpnFD7oGUxakheu7VRF+ZtBRmfWLT
KqqRwFD8m9wbP+u6fhgWHP0kGqlACEdoc1zR20cexD7VANJpt5REjGFt0U0xt3zvUMIBjv4SpeQE
ZZTVhNh2K2G2EDS2TgFtWJiPIhykfcdyGx+0IecBy+DAoibKEQfnkB0QOrgrK/7MM2wskQ3IeYWC
5EUa1fPSMOBr2WU61b3orlBzfTL4wTAPkoGeAKqlpOXxtKK3E4/eyl1LQ1VMPQOmWMcEn8o8qZqX
n8dp2vNk6+vehvqU4993mfpuBTdYXylZ2k9KmkInpK2Smep201GXQfAN7nYYONhIoJgiw7gsa/eb
mqb11Iq0KfWaE9B58RobLbqBugZlWWyuYXjpp1Y9ICBh98NyOsCFDqVTG5FwdWvjiAaSHBLd4Exl
yTgoiTcOlCE7RHKkrIss4FuqqSZr15Xinkqdt2Db6sn3BMu6KMH9OEm5rIYIPdbgz+wivvVjg261
nKnONMlzqxcou29INg7A3ufrSAJ0HgeKcupT0Z65DWEVKjCPngqwZGBnTtoCUDZ167nKkZVDRstz
3mIg6Ob9Z1ze4SgUeXRQDCNVWhRtK7mo0eZDqVgOnuvMZIlCSV6kh54vQyTzGu2gMr0RYzZFWupZ
gclikX82Mf5djNFwIMnedS4l2pkaBrDccIFeSxSopuiqDiSEdV7vuXMzzG8KkGkPVZrMHJ9p/NkK
w+0IGRGuraPV5f+b/fN7Znm2qTcQ1Ggw/Nxsy+F8WzWQsZ+3FvHTR7uqy+zf+6U/X+i7IvQSktp/
/sfmHvbLLKjqMrir2Y7eqEWpdb7akR8/2OOn/uN14g1319zzDuyhnD043kB8f3yxKZMz8b7/WEIw
/YkNmZ1XpXlCvB7f8cVI/W4s/nybT4P659/5/S28HAkDOcq/MQrc5s9BsD4RYpDQ4Cj4+OKs92oQ
FGrM9EZanAI/ziDseB6UXwsDf/t54Gwrau/A84iOXo2Bqn8CwqXJNofVx9dHeBDejIHoLfk3ngau
8+pxsGkYIUAUqAlehJyvh0L9pNLpgcT6Q44BQTYP8N7rAsUhqFQ2ErDXN88TQnHG0TA/Fq+nt/o/
XhDePAcGEI69x8D4ROuD6OEyH+9U3OqroWBZkDnJoFThCWG8P94gyL8e2f72gsAGIe6R9Bh+teJF
iuzVIMDKppRvG9QFP+ggiM6FPWeD9cmh8wYiIOVo8dqxS6ooIll9mHy8Puyk2H9hUPEuVOkfJSR4
fP06FIrxSeDEwKY9zZoPOxT7Tw2mP8MAQwipmHiJXeRV7KSiP8OJjGacDzo1lP2nBjx8g/4kWtN2
rw/olpEKC6WB9ThIH/V5EDmnvVcJslGoKVCRPr7eLJUIKHAOYCT0Dz0UAtW351DYnwzkx+wLyEzE
600IRU3GEf+wv4rXR30qhAJ+z6EgbqaoLshgj3f6Zu9A8w9dErTkhzha7YiktP1XSjYNytwGG8cv
SyQ3D5D2qWvh8UH5oAulvv+pwiFOEi21VA4fX78OBSdtMHQcvUSTOs/cx4smtacP9tTn/yMP8rfS
DRbHSxl5N+y9p9cvzwPRJDGWgA582Nmw/5NAkw8aOssRnTTi9WZx5HxJgy7L40ddFoUgb+9lkS8a
JT9Jl6fXL0+CyLnA8qRvCZ8V8fqgk+L7d7TfpBDxEVHk7+IG5RMTRoEn8rQSf7yVQVTl9nwe7E/A
iOlLVJ/CxDfbJCsDewjNFyIj8SGXR/3pALzfk4DcxNIMgFKPrzcnCtEhI8JpIWL5kINg7B87mngT
ynRhfU8w7Uq7wOdnQogK8r86CP/CnPmR4p/6QXz/mNwPttWuGsDvfuE5n/325y9S948J61e/KZL9
T2/+lOAX//1fr3P/j9HAi58+RweP7/T977/f4ts3f/Vmz/f1/D9XwbbclHd0YDyWPL5/0JNNQnXg
v2P+9RZT8ZRk/flp3hYqfqwFf756HqTbl7n8J52B6Lva/+LJ5j4rny+0vv/P//h+cbbUvS8+aep6
1wf/ETzvLt/8S6My3UDR4Supnj/ni8/O8773Z59myJk3zxd6cXGW1Xe4OM5Dm7/oaq13vQXb195v
MdvGf51k5c7xJz7d+/rz+K9ZVvLwPF/rxRCxy+19/UW5rXb5D8qs6HtffBlv0x2usDLB097XXsHB
hGRcP1/q57iIstPel8ffc1sGm/j5Ui8u/x5Tdp0OO75RQcfZ+5MfbssdYy7qD/tfGkuWHQuB8h5z
9WgT7VjDlPeYo390J37cZvZYII+y6q//hqQQb3eNzHtM0ePNPQvw89f34kF8jyl6vCmDXY/Le0xR
ce0827W6q+8xRf8399R9v9njbXm3vX877iI1u/dUOs5wfn2+zs/vVH2PaXqc7VrR1feYpVz6T94I
+w75ySbf8aCL4v/eA/5HxNm+n/uPMJV9L34Wb+62O2JHAT/ce1j+2J657yc/Dwgdq+B+x8IuGjn3
/vAXmzucQLnMjr1UVA3e4Q3SvybbNNj5Bu8xVS824g3KdFPe77SBFgn/d7mLWbD1do3Se+yv4iYW
4ITugupu13u8x/QV73GQbQqcAp9H5OeqKUrq7zJKR01Q/XV6G1T5rvt4j/1W3MfxBhbW8yd+cRfv
MZ+5fr35a7Ipbze7YgaRKX2PkeI9pvHud3ifiS3uAnrD+Pxxfw6T/i4T29/sPBPq7zKpyWHsHPx3
mcx/bjLbd8m+yOLNruhBf5dJTGCS7NjgRb52/6ey3iDjjjdN9XyxF8/Mu0xdkWbZsQ+LYtzen/5y
6292DY2wS93/4sT46Iefr/RzXIz3mKyXDSvBji1e5F73/+gNCaJkV15OpFv3vvwXrtDsmqvGe8zV
PzQh7TtP/4Cv+vOld6Vlf1R33yZrn5XRu/7sdS5a/MZdvN2U//U/AAAA//8=</cx:binary>
              </cx:geoCache>
            </cx:geography>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data id="1">
      <cx:strDim type="cat">
        <cx:f>_xlchart.v5.9</cx:f>
        <cx:nf>_xlchart.v5.8</cx:nf>
      </cx:strDim>
      <cx:numDim type="colorVal">
        <cx:f>_xlchart.v5.13</cx:f>
        <cx:nf>_xlchart.v5.12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Gill Sans MT" panose="020B0502020104020203"/>
            </a:rPr>
            <a:t>Where do our customers live</a:t>
          </a:r>
        </a:p>
      </cx:txPr>
    </cx:title>
    <cx:plotArea>
      <cx:plotAreaRegion>
        <cx:series layoutId="regionMap" uniqueId="{00000000-C66D-438A-ACE8-48C289CB23B4}" formatIdx="0">
          <cx:tx>
            <cx:txData>
              <cx:f>_xlchart.v5.10</cx:f>
              <cx:v>Sum of Quantity</cx:v>
            </cx:txData>
          </cx:tx>
          <cx:dataId val="0"/>
          <cx:layoutPr>
            <cx:geography cultureLanguage="en-US" cultureRegion="IN" attribution="Powered by Bing">
              <cx:geoCache provider="{E9337A44-BEBE-4D9F-B70C-5C5E7DAFC167}">
                <cx:binary>7H1pb+NIsu1fKdTnRzdzYS6D6QE6SS3et3JtXwiVS0Um93379TfkctVYlNxDAyM8XOGqG+i2qUgH
eZgZESciI//52P3jMVqvinddHCXlPx67P9/7VZX9448/ykd/Ha/Kk1g/FmmZ/qhOHtP4j/THD/24
/uN7sWp14v2BTUT/ePRXRbXu3v/rnzCat04v0sdVpdPktl4X/d26rKOq/Jtrey+9W32PdeLosir0
Y4X+fG+vIv0jLRK9er99Df/5/j5N0nj1zk7rpOrfv1snla76D322/vP91jD4/bs/xn9tR7N3EShf
1d9BmIgTSiSTHHPz6UPev4vSxHu+bCCMTziyGKWC/vqzV6sYJKdr9KTP6vv3Yl2WcGNP/92R37oL
eBZ//cdn8Lh5Fpun7wEQf75/SHS1/v7uvlpV6/L9O12mTw+r6O10c6MP909P5o9t/P71z9Ev4FmN
fvMC4vGD/U+XtlH8Dwj/FcFj/X4IiPmJMKnAghH59OG7EGOOKWfw8vx8sX4i/AaN9kM8HmACxmOR
owM508n6INOYSWIxZNGfGIsRxkiecPhYFh9N47+iqRq9hvGW/CSItySODOGrVXaIOSxOMKzRFGH0
6jKNhaSmJUaTeKo++9Hdkp6A7db3jwxZO43q8hDYyhNsSkxg8v7EFhAcm2DTFIRJam0v0NM12o/u
SH4CviOJI0P4Ii3f/ZV462hdHmCJpiemhTER1HpliYY5TgmhHP10xdA22G9Ubj/i+waZAPs+sSPD
/q949T0tDgC7OAFImYk3/vP2tDbBJGMsiSmf5v0I7+kK7Yd6JD8B5ZHEkQF8vi6SA8BrnRBOwO5S
9nPxBhS3UAbHy0RCIoLB7X7pXU/VZz+6W9ITsN36/pEhC3HzqlkXq0Ms2uIESYYR5s/h8Y5tNk+Y
2FhvyrbhfZNS+zHeHWIC0LtCR4b2Zfo9ffzvT2SKTqg0pSUR+2meAc+tiYzNE4tiiK8QUCQvJ/Jk
hfajvC0+AeFtgSNDV9VVdYj4WJ5YCCYprNP7nS+MTixYwxEEWNvoTlZoP7rb4hPQ3RY4MnTtFBi7
TQhVVocIpMSTqZWE8FdAxieIUGFxBPTIyyn8Vr32Y713lAmQ75U7MuSddfTuKgUO/SArN7couNLg
Zj19dvhNCgE2JcBvjriRNym1H/PdISYAvit0ZGjPondOWkBA9d9HGxIWHEtm4WcyW8pdOw3TH8E0
/+mRj9bzN6m2H/PdISZgvit0ZJhfrZvVQdIXQI8xzAUxn+mxnQwVgmUfuDEqRy74dI324zySnwDy
SOLIEJ5DAi85xJRmJ5wgZlkI/VzAx1N6k7wQFvyDRgTodI32IzySn4DwSOLIEF5E6+QQJAl439i0
kMQ7QRV4ZFIgTqyRaZ6syX5gt8Un4LotcGSwLuv4Wxp9r/771pgChykYonQXWXqCGCIm5J1/Tupt
j/stKu2HeGeECSjvyBwZ0Kdxti70KvrvA02gDERiYVHySgISWScWLOEWAq578xm5XW/RbD/eOyNM
wHtH5tjwTvrD2GNhYlix+TNZsmOPN6yoZEyIURx9OlGfVxB+KT0F3ZffPzJkL1ZluT6AKYYFm0KR
iJD4Z7rC3PGmgdCGy1SwUb5iukb70R3JT8B3JHFkCJ9DceEhMhbsBFJNUCryK828M3klAAw0N0Yj
gCcrtB/fbfEJ8G4LHBm6F6vwAFQXgWQiWGBuQtL46bOTjsInElmICT6Khafqsx/bLekJ0G59/8iQ
vVx9h1zjATwsdgKZRgiE+DPPMc4kQwLKZEBfUwRT+iV7PV2j/eiO5CfgO5I4OoQLfQDTS/iJ5NQC
eJ+py3GNJpRaWwSB4ZUjt+pyNVGh1/B9KT4J3pcCR4hulh6kkI+fwOyE+SuenavxDAYeSzLKBdTa
74uJNzBP1ex1pLdGmAj2lsyR4X2/SjbJxmh1kEWbn2wq9sAcP7McO3ManUCUhICdHlGXb1RrP977
BpkA+T6xI0P9cp1AmYg+CF0tT9AmMOb8mQoZT3NMIN/IGSFy5GG/San9iO8OMQHvXaGjQ7t4hL0/
9n99dxRMb5NJJthr0xvCaYEklOzSJ398xHpdrqfq9RraW/KToN6SODacYRfcAVCGwmvYGPMb5M20
3Sr9AruNsRASzPbI856ozyvovpSegu3L7x8fstW6WPcHQJedMM44J+ZrOxzRCYMNjoyM979dQrXS
VJ1eRXh7hGkob8scGdLXxQq2WBwAZwIZCij7EOyVEj8E+yAtKLZn49zEdI32ozySn4DxSOLIEP5S
fzsEP7JxuxAkmGAZ3s99QQkn8F4CZvL2Kj1Vn/3obklPwHbr+0eG7E20elwfZpMMWNfN7P25FWY3
KwE1PnyTe8S/K0ReMmDT9dqP8Uh+Asojif8FOP+9ilu3vNmp/tevObSnycBbewxw8K8oYxI9ozsO
mMC/Ygg6EMD83seLwJaG330RfqK+T6f9yL6U3brHn7f49w/lf10PgZuohn4WB7CtQFwRxqHo8hmg
sYcM3DSkDGH3BBnRHNM12o/fSH4PhFu/gk4ZI4kjQ/hOw06nUn8/jAMlhWkR8ryTbeMmbYdBEA3D
PihIHI7CoDcptR/n3SG2cN3fEGRX6MjQvl89FtAVJKkOE/VaHJpGUNi+9vTZmdObHVGbf2DbzOYz
4jbeptt+1PeMMQH2PVJHh3vyTq2hoc0hcGcQBuHNbqjnfejjAgHYCkVNbEJV3yiHDLTxG7R6DfGd
MSYhviN1lIgXyar4fhjSGsoxoYcEEuS5cmBc9wPRMYb+IeCF/3L8nts8PYH+FsX+DvidcSaDvyN5
bC+AXhcHyVBB7TUzCZTh/lzFd0Mr8wQumsB+/qw7GC/zk/V6Bfdt+Sl4b0scG84wnxy99g6xsj+1
auMW1Onuem6IEQGz/3nN353jk3V6Bead25qC9I7QEYI9B77zUZeP6a9nvid4hTKut3Xt41B2b5oc
Usu/+ZAtVx1KSSg0LrQE2bOc/9ZoSqD4Oty7w0yEfFfwCGE/S1d5fagyIigiohgAfvqMLTn4b1hC
/aeU+xd0mHRvUO51/MeDTER/LHaE2F/Uunx3/U2X2SFWeesEC8xgxyOsAJvPOEwHLoZBCA+tDPbM
/Teq9jr6+waa+AbsEz3Ct+ASGpEeAv+nKjMONUfPtnwnbsebbDWUqNCxKwczf7JSryO/PcREzLeF
jg9tKDFTq+LbYYrM6MaYb+pCX98fy6QgFEGPwKfPL1fjdwj3NvVexX7PMNPw3yN4lO+AXdTDFK/q
je4elIZziqj5qzfR2L8Hdw8azIE9GG+Bf670m6jV3+G+dWeTQd+SOjbEq1Wiy2hVHyLhwmGTjgnb
otlrGz0gIWpu2kXyUa049L9+g1avIL47xhTEd6WODXF/dZDGRbApD/oyQ4BOXittwCcQvZsC/L7R
0j5Zo1eQ3pafgvK2xLEhrMtQ92n931/Dob8cNLmArQG/urDv0O74hMF8t2CPzwjjN+j0CsrjEabg
PJY5NqTTaHWwYlIoZNkUHO4Pz8BWUwlk6056ZbJGr6C8LT8F422JY0N400rwEMVKUIhGMIamoM/u
+I43BgWlkGADBma8Wk/W6BWEt+WnILwtcWQIf1j7q0McigL2GNpYMGjX/UrABf42NJOEBCn6ycGN
Au3peu3HeSQ/AeeRxLHhDNsR4bibAxhlaF8Du+WBTn0OnPdwKZtDFSCwHkM8XaVXMB4NMAXkkcix
oVzDHr1D1DVBRwRibmbq6+WHWG526Vkjz+vDZI1ewXhbfgrE2xJHhzAcoREf5Pwb2FstoH4BbO4r
XpcJERRGSOAdjKfr9BrKoxEm4TySOTKkP0LNWn2Qcgbo5QrFCsR8rcfvZq+WhEJxZo6IkTeotB/n
8QATYB6LHBnKX9LoEAkOARu2oPUU2N1RGQNkNuECR9BYbjtEnqrIfmC3pCeguvX9/x+Qvn5C3e+j
/pxVtZo9HRL44pC6v7/69HDgbMOR6HOrkf1VCz/L8U+///ke9kITC9qrv6hk2Ay01ajkeTr8wm5b
bA3c2p/vDViigQfZHIvCIYUJnbphGrfr50tQy8QleGPQ6xWOtGNAoSTQU9qHYwzpiQQTz8ECSMqg
5SC8IGVaP12C3dgI+hM+7QBET5d+3elNGvVemvx+LM8/v0vq+CbVSVX++R5ewezntzbawg3CKVzQ
pxR4HDgVUUIgD9cfV3ebXk7wDP5fZxpeUxRJfTX0oZ0XtfJKS2kRqxfPZc+fQSZ4nuM/ZEHN1ian
Y2JoX71R5MUfQlHV5Cyg2ZVZW/Ih9HOD2TGP+mEJnoxV2KRKanpalu5wH+DQUzBn6KdAcO9Llgbi
rPB6eY54nKmMF1Z34/fkjvRpkzqs93h53oRBSb42Xc7ETevmTTMPUEqdhjZasdCIrtsgKtFMZ1mK
Z2kb1Y0tDM8NlC7d5LMOezmzxFCYTpk8WhFtrzjNomtam1lkoyyM+nnqdsSOmloZUZm2ius2Jddm
g6zwoomC66IKWxVnSWf78gbW87VVZt+T3Ju7pfmBN/kyacnCMli6wCbchZHpmaTuXMYzq4tP3b7P
HRLG2ikL5ER9/sMX/t2Q0SuEsx81ae4j5MWzlhbBFx6mpSO9sL40eFZc5aXFziItLzMZR7NhwKVK
DIP8oEGZLKnrm1dJlWezuHFzpSPDmuFWXJJKXpVJ2ToDFo3j6QEvqoQ/9Mj4HGE/d9LAtwpVVR7m
qibYh9fCjWdgyfQMzoOCISo8RyErHgpakc5hIvHvSq8xZjVHxUx2ZveZRrqHp4jTSpVhXTjUKHon
sIa7nFXizIeJc/X37xiGuTl+xeBACzidZtM9ncBrvf2K5X2Re14niqtyFq/aQqH74Z4rQ+V2tUyW
LlK+483iBZ8Vs0RZZ3ROZnjp2uF/eNctmNEv9BBQYA4nE0IhE7SPNE0KDXC29bC6oq290k+vXOyd
9ZHf2aGXuyprKVaCh3KWNy6ZF5gVWrnCvPR44Z4hwIiFeWz3vL+SrtkrgYevVZfKeYndeA4nwM5d
MXzllmupwDV85Q7dpzzKuMJF3tu8DIjTtS5WyA9iZfndrCdy0aLEDtzBzqlw1WDJ5UCQ6jFeQL81
pPKqgJdCUruJk2XQUScltFCpmc3a1rvAbuirMNHIaTKt4jgoHZjEV20nySL3glCVxHvw2nSJSHxZ
d8JUhsgWZggvGpc5nddmcP/3EG8vIvBkoZyXQSuKTW9sAsTzaBGRA25lFrvFldnEwQIWgghu3kxs
Q/szK9VU0dxb/f2f3PjT22iO/uYITaNreNGEXnmVe+SL5RZ2V3upM5R8SeP6Ms1dU3msyBTPc9uK
ykpZNOkvhqL2lTCsi1SLz6Yuc9WUxg83pPMszy9xym5Nd3i0vPxr3OrcyZM8O39S/NlW3rxc6h/T
rC+05z+f2fv7x399SGP49+kE2H//cnPk779/WqzTTVa9HH9p83d+f+vfp8hubODvI2VHlvXnucG/
jNFbLr7JJhN4K35XF+7Y5E1R/3NJ1q5d3oj+ssubLV5gj00G5pXCFiC49Msug19mCWZxSFhCnppt
uiT8sstw+hk4BhjIcNi7aZGXdnlTx4KeB4OGddbvw5W3sAKH5Pnnl2YZztzaeu3AMItNE3gG+RMK
LTugHcf2IgLlknHX0b647o2GoUzhGuW+ShIRnLLaT641ZZfa5/4Vs4qFOzDrNu9DqQbPvCMuvQuL
eg3zOFdd558GTXPuczRvSH0RYmwbzXAWJehCJAgMAK/shnbf+oxcmFEfKVLHV5iKuevxi9I35mlv
3LLAf+B98snqKlu4+VpQoQokVNQnp2GdOr5heIr55NQS/seib22Dmrd9GF3VvXYaaV51vKmUZN0F
E8PCKpDdau/ByrUy4I5mUdF+k7q6dGU4rwrylXjRoqmqs8Rl84rI84bmV67vX8m0m8uB2p6fXdU4
UCTNL4sOf4I2ZUsfDIrse2WE6XWAgqvUQLOmlk5eDo5vNl+kLm98v7702t5uUrGgbT0jEbsqcDYL
5Y+ykHgWB21t+3V9NkixcluuNAMnJGhOjVI6jVXe+d6wMILAibNBsay478u+VG6nrz2LL0PeOihg
D1YZL4e+vItF9S3B3ZUhkivfzS8aFi+toT6Li35Z56XiXvaDB9kV7G2ZDa48JR694z7PYN3IlhVP
EkWj9jKsuaFQn5/nbrgiKb2TGbN97fYqqvl1bVQXHo6dwWtOiyGxS27cBbI7Rab7kcb9gyfJjMES
rnJfz9ywo8p3zdzmcX6pRdTOWZt3t1Ffu06q2Yo3slhkebcQmVXbXpd9wjjzVdx23xKgHD1VFJ6Z
z8petsPMLUURLAOZ+KdVWhTBNR2GTquAsoQsGjgWfC5RC+h35allpOYizetoYyHuwrTKzhJWNHaZ
h1qhCJHLzhoap+lRoKJOp0omHnZcMgR3kLZYhNgslVV5yyBBpQP9a8QMbmmwEzwMNkpqroKM57NK
mIFd85Yu3SaxnJL195qCX1VJv1MuYeF8qKvMTrMcq9YrH0RRmbOQ1b0KInyrRZ85Q/CjtVxfSQN/
MLD7mAriiJ5eD9ia0yIEZytsnbBtbBq5az3QSxFUnwxwo4LLoq6aGXy3tvOsDhVh3kzH6S1O449t
XWkna8A2uHDksT34NHSCjH7zvCpRZpH0Kivz2impvNJF4yneBd+lUXeqoXVsNw04ZCEWay+TX5Me
P1gWW4P+vqpSs7T7nkQOyXpP+THJHCsJfJWFrlZNhpZZVDhE6OvGj89E3H6kXf+j5uZZIMUZTX09
74x6BpblI3iAM/Af86vebfN53EQ+rDgGu0wj9z7JfE95Mixn2G+IU1MSKPArPrfBAE85j78bqUiV
2bWFw30vmQdhd+oa0SIwpbbl0HwZUj9XUdVda5N/85vuW0ebQhVdDO8tZ0vCGgsko6UnCkPhHM9F
FoHLQvDCTfHnKtdcwTJlg6d7qr26VDXTn3uPwOAGfdRuHjtMBkrW1TcDHM0Ss97uXBOMqvuJeHlj
97KEAWrTpqFnk9rANq0g1BmK7IPfktgxg76fdQxw71z3M4nMWrmZy+H9IvM8NHIlZQtTFKIEO01h
WhatKEE98iM2cbdoXE+qGtxlHepWtXF+qvXAQLfmLBPldRfrQvVDrURMTltwx/2q+ZiY5lnVikFF
hpRKG32garO7CH3zvvWqcyvxP6Cem6oJmJMUQaMEbYnDOuNC1wKppA8fCp9CpBZn3Il4FtX3vh8m
86ItPd82UpeqJq9M2wga/5RWeu5HDVWJKYyFOfSN6hPw6JIyTuddjc/KsL/N4jJRHHXRrU4bbf+f
L/LED5h/yw/8PF141w3ZSP12Q4ADgsJ2OMcLuhwTSl7QA5CVg2NCTHAlIKKhcnPa0y83RELXawqX
YK0DRwE2TvybHhAnm7OXwaEAAgH2uENz1V8e2QQ/BHP4I9kWQQA7pNGTgwQqwJElm+sv4naIKLzQ
YC69DoeM96cDS2PyrfFJ5V5jZpM4vjQCAy+FyyPbqP37nnpUhYxmTgIzTiGXadVGeTirZUWd0orN
pdmGgSM6Uth1k65QP3h2benVkJedExO/dIqSnUexl9u5G9wEufyYeW41gzcU3mpRQgjaD+ZSS1Y6
YY1ccCvCRrVG3Mz8ooocn1XndZJJhbj+1CB2q0myYFFc2GnnJM2w0HnVqsaMTRUG6e3gtR9Tlp6W
dMN8RCmzcWV4tsxLV+liWMmguGUsN+EsBsyUjPANNqvosqZDOhehlTjYjVIHPPwfxPVWdVBXdmzw
WdWv2w5bTm/ls8YgnhPFyWWH6acs8TJVijZb0jKJ7YK0mR1myAdnxhBqELKwUdOdk0EHM1wM61q4
8zptzpFsF4h3cyjSX5SknBVF6uAANXYVZaFdNGRdSWyHrTsoaSo8kIsEyJXBAi+m9txC+Rs/L9Yf
RB0lThRlyzj0Zl0afIik4VRVcpsV5rlv1LYba88urPi2AUjrmPozs9NFsqgMJOaCZWfIir8lpR/Z
mrsXZiMvkkYnG4uYsDNBcHGLOjNzvwZF5OFZSVIvuTWGqs8WMQJT55mh+bkfApkq1oSP4GTPO79o
lcb1oyz9OZyW5dmtgMu6btc5RaUdlJ1UcdMtq96/ookrZkbb9fO88n+0BitUIPov4MV/qIbuFjXo
KymyMzMdvugmkDazSjLjHv2ucXfWml7/NfLzUOkq4zYliS2aolGWmS8Dq7h1ZbTkhTAuap5/6DXc
FiytufI8ce12pbaFP/ygluXUfhUqK2RyVrHeXA78BwpSOtOo+thUkQ/+IcVOJPBVCA4Y0D76rHCH
RZchyynipoAV2n/0wnywo7of5qINMjvovQU2yi/AKy1TmDZ2IpJOiR6sOS+HWeUlGZBi4WnXUtcG
Q3nTu8Zn8GDOWEaQE+DgARwXbyaAVVQleIcwmx0simXEQ26zKj1LrLIFHyGz61xYymfhj9KvrrOY
rprSvWDREKiwD66gGex5RvxGsVSeJ20E/AIhjR1Qrgpf+yqomnaRd7GrKh+4BCyhLikUXwaezuLI
OjVL7wsJSXY/GMxXhi86FWHrgRv+fYcNZcr2c+5TfZr58nTo8nPXE9m5m5afWecukOD3BmOnPhHX
hixvfZOtMzpcxXGxDFN4NwfWD04GLp/TYO+uadJFaKZLr9aLIvDlLOxkomD2sK9lU576OKjvXNH4
SifRPO7ac1aV4ez/TNtP6hsi0tfD7A/1z4TfrnF7Sjr/4r6htEhCKxygsDcU82av7u8YG3b1QHdo
oLHxJsLe2L1fxk2cQB0wgfgXMwlfwcDy/OK+oYwYfrEh1zal41DO8hbjBnzclnHbbBCGTcTAJMHW
IgqmdxPNvzRuqLGK2Ejj+Hqw/DOCkKJNaqkuTJwhCdJ5A232gGuLLoELDucWoUuzRgudVdd+bZwm
UeCAX3ibIMOuCTpry2wV1vSLW0Z2mFSX3YAuPEmXgw9LVGikve0Dm1320W3juuGMxfFKAjthU7/P
lRvVmT2gNjqP+wirKPRLcBir5FNK/PO6TsVFQuIb4YeRkims7wM37EKG35hhzYmLbvwuvc4KK1CZ
DD63qGEqTdi1sCCswHXIVQih2HXN0u8sTQNldX4FYQhntm5CdGr14qKq+Clx4w+k79Y9HS4hGPkW
ueWHtgeOPYi8Rcrqc2YNRKUNu7ZSfhZVkaekbz0Qw3CGtPra+mxeblbTAoHP3EpxQ2UBhhzi8Ta8
CtpgnhnIBVvfajvgEUS1hfFJxsCdpUPmmFZw4RdDp4asPycyrE4TK8pVHA5o7jMZz41Afu14fGM1
9QWtRXqV5bdmSuZxqGc9R9ewkXhek+6uR43qgkArUqAVQb4NrPfnhrqfoEJ9zuq6VrJprSWJ4m+6
rx8ywyROPEDIhrrgqm/g0eVhfWt2bueUIYs/5vSU9aWoVCW8VJGcN1eeCfRI62Yqtlhr93Vz7/fB
DP5fzzUrI6fKk481qOHmEKCG2ugUbdOFpU14NgLZqdmf5w3gEAQGxK6miJy0B/oUQrk7LdLztnW/
0zyD5ARjH2jK7gwgpGyjYhcyTl2INbhv+1kegX/i3xmWe2oFFb2w0goCmDz4INzkEZh6J3Hj29gP
vwdJ8dGTENRAlV9re3BTy8xFLUQorlBu2nk2x3hOaNUpsOh2lOpwnunaGeSGrwgXJm2WISbRLKm7
fobLei0sK3Mog9DK5NnnNI1nEmXRhW/B084jsJNeOrQq6VCpSFl0EPVzpIauB5OPZHY59MVDPoR3
blYLm5oBUM7aQEp3QjhxndQqKtJzM+2iCxSH81qUnzXjF9CS+i5pUm1zLWPbQMOwiJOgVolbtHPZ
J/BmEvw1S/J70QDwVuuB8zVAvsn97jYGckhjAXci7urWXbYkgfyA657yEJwuC156BQ0F5t0gIrtA
CVXYC0tg7MEvCXIgKoyhX3lkKG2rBN8wgieqKqM4qxrDMUM2g1gNjHMU62ugrxcQS8ezPrwzAuDi
N5GYN6yMsF9VDfvgdc2HMEIO0OU3QMWFdusBn9ViCKmJNj72wkhUFfGZP1Rzv2/YmdZ5qzJUWQA7
UAOJ0a8A1/4MvNVZmmXga0OJiIMNusZdeRmZxmVnVskM2IxkZvbDKh30ss8qy05Z3ANcOlN9y7nq
i7SGWLu9j3mbQmhdoQWkK6QNsQXo04CP2NbwBsLvf+Co61VvRa4KKYTiIjLu8tpclzG8EpTF+izl
/CEr8qsyArcBkpfrLDOvudHOy6BjysARnSUtx3OGgrlvDsWFi8xFl1BAG574eZ7ATYcJvE11lXyh
cZTOUwPWYE8LCexHQYFm9JYuZR04Rv0qZzpdSFgaaajnOYTztu/Ty6Hyr8uIQOaDm8LpNblvg7hV
Hk1v8tJcBAX9kA2wVqboHnk5ttNBFMpM+crzsrOM+WcYbs5ptcnAGawfDDYg2w10PouCJlCFBS91
WLpfGjZ8Kar8zi+pt/QiY5kFqN7whqGiVX2fCRQ7RQj4EiN1BClau+Vuory4+Ab+MCwVwD/58hoW
uoWX+7HCtPwAlMvHEFefihzYpiisP1EJ8Q3CLXJgz4x/PpRB42jhW3bvR7FKvRy4P0ROizK4TxhZ
DBkwsG6IvrRhZ0KEEsytSAa2kCFWJIOYpcAfG3bblmeD+7nV59Qnt0mQKzhx9mNgxA+axABNUi1Y
kl5h6K0PTi8ql2bA1ggW+hnq5E2jGUxtarhLwwKOmLNBzyKua6UpZI1ke1Fm0V0j8ZJ3ESy/up8N
PboH0vDcT/tBAW3ziVfAcph5dZZXVw3rVWXVWnncu6E90U6USr3AeRHYVqE/QVC4iKIiuEgMWP4H
o7iUPTfmTV+Hc1J1gRoQIarMBKAFick2884sKQy7ZOChK5R6Mlc9JC6XtEvXQsf+ZZtUimYerNj8
U5DG7aKoNNeqyof+Cvmmtv0ScOb9wICGqmZauxAuovLMrQZ5jUiRXpuDMSzdsqKnDdDuUeELsapp
3y+GrsOwHgsI9BoWzCUkfWMLXeLMOoXV6Iy58OrAOQuqqIzBMQpKPmqewQrR5J6ipbH0c3pFaekt
E99ck95cu733DUxOoHq/W/am4cSCOzg04dZBx5Kg1Am76LHTIeQxPR8yygFWlUtgefDYZ7+Lm0WP
qmDW5v4sR2WqMB7mrDEgfuHs3IOHnX2DwAFR9y50+dIwWgzEI78mWefauo6RHUbmAzx+sOIoWmdd
cAbuNofUVXcLsfkiEGXpWIQn86QzQ7svzMzRETBKKG8/J1UHObLo3qK9wyLrIZb5TZ8HlWJDeNpS
Ni90dNPAPFElsPmoyj7wlD7C4npTyTaxIx9eAc3yO2QUc1jg0AKS3mCyUXmV+FgrPqBlwiqsZBBf
c1n0KnR94DBl2M+KroL3ofU2HMDgq4JBIrgDJjNjtFQ6xauhxImK2nbBdQCLs2BXUN/3uSiyi45H
3E5jY4Z0Z1ut+AKmZd60+K7Im3OYuUuOmany1n/IhhKCNR1dtghMbYgutFudAwXwycrQ59YNwUYk
/FOJu8sUkh6Q55CGCgzI4EjL+xj3kK1ERnQ6QERIi8vO8+ZZi0On1uL2f9g7l+a4cSxK/yJ28E1i
MwuS+ZSUkixbsrxhWLYFgCQIEg8C5K+fk1XjHpf7MdERs5mY3nREtVJyZhIE7j3nO5csm3BGB/kn
Oy13m2dVOPK3Ic3Ocx8NuOzr7eJLe1zVanajz+9EVI51LrARBuwQZjxv5ixFnxTfunC7sSpJappt
qs63/KVzQjwkbbg11JRBFTgVNwtLtwoWyVTDmU6qTIxrPeki3QGEOGo4940Ku7fCoYYpvX0oJp0c
iELPRYnWt2JWK0RQdzN0RYlNqT30QxsciHAdas7W4ObKhnJLP+YmOOe8EIecyRNBtTVVw5R0ebUt
BOLQf9uxP9qxCA3Sv27H/nyA0T82Y9ff+qk0giQEeQPWCB0VgYcOI/uXZgzVU5peOUQkQXL86Gcz
hsksyOaXJVoyxPn+AiLhMceIcyLEhwzYH6N4/pNmDFmDvzRjV8fzmjLCTE4wHDijr2/i12YsCKNV
xyai9y2K/WIVojI6w+26qktihpepD6rJG9JsfD0X7SoOo6B3g7RHcFc/0mCZa0eymiVO17IYbkBO
gHgg3d3IlrCJguBx5HyBZ1JydFbDM8yJvmo5IbuUT98iFDuNKe3FWFov0fIKwRCaTr/LYoM6nLIv
ORmaYHH0WUHXPI5tf0OFa+uizZYGb1vureUX1LGiolH8aodibGaeety3qW4gU6V7b9r3xekfyZBh
8WNi3a6UEH6E4k+yZ4+ejl+30D0HKyp7ktOllhnfdn2QnTO0eY3NGb4BwtZKF/KtzLpvrFAXgQAe
DAl8RKsgbugpegiG5Nqx3clpu+kkX1D8ZACbePyQdd1DOCao8/lgILIZXw94euIBcu0CQMF9a3Wn
6yHCwdyzcthvLFubIew+Lsv6wC321CQ0Mz7SUNw6QZ60aBshokc9OrXvhlQ0Adlu2EDOzPibSbKw
Lhw62dQsJxqhnKQShXJ+7aOkzYJ9wHXZEJSEn3QvxyORmd1ZU3Q1nUxyRvYQp2nvvwfLup7pwqI6
HEPaaNGVh8SVwW6iyW0+RyfQLdMeJmb7uAajrNhsyH6l4bUYEqSiAYeaZkf2KPPgIFVwCHixl938
ZQ2n7aApqsZhYmLf0wI+3ZTui1HNp7Rd1mM+tntD521XFGNRDVR8g5so6qgoKLybVOyG0fsGatiX
oXCnnKrpjvfT2uCPrpDf+L7jo2/CbdnxNjK7Zcz1OY7n67nLmiJefNP5DAvSFtkl1GlyVPEqamq3
b1aFCXxBC28pSIeq60dS21YWR97FS7Ot5V0hUgIdPf+hpkXuFIkuozMjSDos5SztfEMXPuwnupY4
cvKnkSVflqLH6So01lBZDEej/VBr6p6CtdWnlq3fMLR6hIfV5lVPx7IJ7YJlTIqHNoQYOadDegxE
9kq6+C3s5aEIvNld+45ABBO+53JGowvxhM1vK0kBJbliLppRE+Au62bScwT8KIOblXV859UqqsT9
GFb24inu+bgvJQRRi0YYOveamOShcOLVjZNu2hIeNoovW83Z+uxpbuq8dWrneVCVjvSNlGat+16+
lNK6gxuSneZyrFoF9y1iNL/BQT5Xc8lQVWXjx0229yqfbq0nurFyfOdmfooTdhrj8mYpw8fNdDfb
htqqF4DV2F3YQX+Va4eSbQCoKFT6IZT50kT4u/vZRzdl0ru6YPNJFpC98x5vnNCjdulNGITvuSn2
sNmuW1O6k9cGTqKTi0PYtvO1uZs9PAn+R8OHzq/01LcWIokxLyMcTNh0DDpozQIlnxJn9bP03r36
Np76Kg8huhwTXmZfaC+zs0EpTh8GOtDyZOYg/dLSPG7vuoz3BwFdpbGkfYlYmoM8jLE0WjrsWqyX
Yyr7ZQdTd6gd1t0um7yvsApfbWqPWy9AlrX5EZVVizIZfggIjhFiVPtYbtu9H+F7bAKlQkDFw5DT
/pMFe7MTE8f21A/xztLunariUeVQbAOX7VfMGzoOgETqYio+JMR8F+vyPGdy2+MuPpStet4IKKo5
3B5Iym9sv2Y1Osuvkcc+LkcHWUl8iFCh1sa0+jgPATQP3d6vfRjXq+n7KqCdR03sov40ynjBxjV+
LeTCdklsVV3k/Jb33VtcOuwGcKXRoo7zOsGEyQ5tmuI+HJa+KoL+Y+hhcshG9McyG5oRHhIk52Ap
72mUcbQl3XuesPMmzKkdk7gqBr6LRBqhxByX3bDMSVUItNobWEnWYvdTQtD9mEwlNB8jqi7mOyP9
1qypOCRLGNXCgTGNUQbzLiPNoIrbdpofpEajMjsHQKEMPs4svqQMDWdGg32mlK5JMT73OQAkMV9g
2o1QmlD6lcu3zuXs4Pxw4yYvq8WjYp22l2wuKzPx+zWTAq5Xfp5aeOC2m/achKdJl18wiJEfklDS
Og9kVKE1gA7JkzqDhzyuQxNlxVNB+qSK4vRHDnpk7zZstklpbjoRABos+hwv9HuVq3MKAa22nMF8
UcWJ5PC3kXyo+mWDPMqfhlZgBFlximf8fwbFrgye+wSXOkRnpaw02G6WvYjoj46QY+bkSQb4aTuV
72iLvk86uhExO/y3nvzTuYaR+6/ryeqas/3HcjLEL/0sJwHJgcS8zun5e83493ISkXAMvwdTRwpY
0dfxjf+rnLwmUfHEC2j3GO2CAUBX5P2ntn8NugCHJ3h2UQIuj6T/STn5B4n3u3F9ffZkeaX1kKP6
vZxcJo/qkbLkXvs0rDe/nNyazgC0IByofN5DLLRoydeXAl4pzuv0m0ogg5O1b7IQwG3n2/RgFLsx
ToZAJ0YY3aGqSqgtjdfLxaO9bCBwSzAhFsfd+Mo43a1i+NCn3WFczRmV7od5QtXTzSs62Alktori
21H0Gc7KAjUPwXlHhDlurv20ye4FzXxRSbn5OvfiPqPJfeTyHZnluRjmUw/1/bQtQFAtcKB6Yf5A
+20Xl9N7OjHomjQ7j+jDAIu+lXytiN6ePRiPqo+xeScxNsQ8FSNgobYOvbTYd9mzi+yX3i9pzXp2
jHESouYoVCVYAolzQTnBp+TSi/k89GlSOaXeZxRilQ8k9vuhvOfQ7yFizvddtkxnLwwEW97SphCy
RxGp4KSHtL3oXIYNI3aDup5u72W89JclLb5tHF/u1Ar2GLdrWDGtfjATkrtODqcMFFaFI249sFGX
95p7gTLM4apZllaKGlr3cPWqjo4MpEyUH/jigSGqJYPuU9DHkCYR1DGc2TPlQyVGKCSJc3CWRUKh
jg7dMUn8sAs4jw8dA3OUbCnILZ9hCUh5FG0bNZFfw8OQar5P4WrvweEMOyUMgHmZiN2YdLfRON+g
XLjvx+hkVro1XJTv7YYOt0OJtgs0T5rVwiCI2mI99BbnbdixEl9EtO4KNZOD6XJadV7ZA4n1UgmU
kU3II/4Bsml5sFOGEysKu2MYtm2zLAOkryQJHgcQpJXY8Elnn+dwC8J8X9LAwEt2OFkknXaBsNhN
+56fM63dgcbs4xrrBxRZ444F5VqBxXuTg4Y+wvKsWmeSnieiEzQxKwe2dP2KeDx+cTrrPo0MRZhm
ZDyudmyr2OMkg+sf3YP6BH42oTLg+N5hvAT2WDooAMwBs2wKy78j21BUYVe0u4WK4Biabm8zFB7t
SFBv5rBSCET1JEUtXqZQ9YPOlY2axFDngKAet8g/dt5+yJ1AkwPugddDPFzQNZhj1s/vZtzeTLSw
vZki+AdkUHc8QmAj8TlOzzmHheNgcgfFgsJiTD/EgX3mRBro98bCeWaxh/3H7fTN4V0VW4DekHVQ
XUo2o11YP0aBi1CF0bwG8XAewYKAkV8jeEn2NFgU1FOB4geW2I6PY3AG/3rkSfJp0Z1Bhc0+irk7
F9344ApdB0Fxp7MvbRHfWNSQn1ED/XC5ufVpEFSjikDHOOturS7QE5Fr/6nQq9I+vI3xr7GJ3SxL
+j5D+a+jbbgLXRhVCymetxLOBe82nOpafNeFplUrxEl26yNm790CshFQn4HwjaKEc86vRtnCsgbG
DFhDDlcAdclp1PGEOEGCCm3FJYxmAcqUPg2+/RJK+zql2B7KcFqaolc33EVffZ/nO90naJy1pPsI
HmnEE7hoqdotnUY5tEHtG/RyB+zlxQJ5boogfSD+qhuJYjzBTsIrTQgIrh+WejLyxnbhcSiXEWhy
u+9COd9zYq6gZoeUgScNRMYfus0BYSy8aVmcv/atFbBERn83xuabTIvTaLPPKCoADYqo6tT25qNF
VVb6Iz70sGcxLDERbc2QFxfWYZchEvghJPueBCiSZHQM5vy4uhl0Be+qgLtHJK1uh1gndcuHN1OS
YzEml4hOhyCdD9SxBtcU4meE/86+spLzWnP7rnnxMMwO7Z9cT+ZK1NgrLZX2j61oA5wFth6S9YaZ
4VEAxok4+zgAzmH5eCyutI4FtjNwU1tERmB36aISQHvaEtrjUJehhsgA9CeJoRxbEDY4x4L1oMtY
lw9coL6m+fgh5Er9F334M/WX/Fuq78/HBvyc3/6PRdL1t38WSRHG1CeYnnNF55Is+lVzuz6+DUPu
rmPRUiQNrmzET80tw08QIkI1BIHtD4Tv70VS8rcS2thVJ8vxnN6riPcf0H2Y8PKb5pZHqN4yPAkH
mmAYI9TwV82N+CyYSJSwS4DNpMkWYSD+rskpX9b5y6ISdOgGISFV5WtQFDXKjUxUIIR192nt+m5H
tnxBwEzFaYMEC4X9hKp+efSulOtXG6WRQubKz5uNK/hCXTxVc1KW6IIStJFz1RfRvJ0w6EBRfTBT
MLCn0qARVplBNG8MCmhbG926j0IOy6fU0C6uhz5cn1hUCl7FXcf204TUmzSDPq4M5uaQ2eJ5jJbA
VitQpedJECBISTZta52OG5rFQM9jDUKpfEj6ZXpNsDO/BtmEmoFEBsHDZWjvwURSpBvKjt9tei5t
LdpN0LrkeVsTGZ9GGopaJJ29C4NCXIp8XD7gSGDoU/o4BRg3LkcbtFlth7n8Eo/wOWtiiITermzu
q6LkWVF30VB8AFUnt3ozgh/R5m3fRBwkDaPpqsd6DedMxXtLsm5qqzSxvTyVS2IOmcIF0Q33wfJq
uIqiXb+0yy6FGcnGXUcYEiG7LV625Wr3JttGjoSWeNk6KXooQrM9arV0XxIy6kdS6ALqHax5bNIp
jio3XUiiJ/cgA3ybDyMyouGO6hBdIm2lnUFWRba9L3ncvfaDjj96YgeLysv2IMPHkA/HMBkNsnfl
1HanOVKdP4uCp+5H7kr6gyB2c7AmafcDZ/KaQEPCUAc4REWgiqYvuf4MtmxS93MQgODbzP+XLsGv
W0+GA/zfNXS/Pjfsf4ec//ytv2xWiG+GeYwerMzwB//e0WFkawhcCrtVieeepdgnfnZ06PWi67Nm
w+vDzuI/8s0/O7r4b3j6UokHxGPH+tM7+E82q9/3qgwkWRzh2cUIX4GW/j1BbLYEyQ1rPVTOhOwW
1zIIcklX9DWCN8sjJPL13Pll7Hdh2JtXI9PlU59qD72ajPPLL9/ePwloRYiH/bW9JPguSAxzJA1T
KNG/7ZzI+E09YXa5xPMYXbAxoiC2hYRL7hcjSbW41L4WywQRRCEIBJa5U4g1twgOprDmi/E7MSa8
x99gsMuGIfq0ZUEZHdY8a39EaxD5/b9/x/8kHouHwuJ5kuTaZoeg8f661wPdYLi2q7kkPqMUYYJt
+LTg4Er2pliBvS2rR+UJAggUcpFfq/8+TA6gVdeogetnvjOvdVTzYELqwyAlUBmBYFWFGCaKFYrI
8ENvyVloAoQbgyHJs2bzTT+4zO+4RpYEtNIi/tRnED7850G5f7wMUKTDAhcCiCGkBpy9v5pGxRpQ
F0wDzGHTkmeJPS6u0j7G0phAKz04r8gTYKfh87//Mv8KDsKfgsAPGDUBah9e/+f6tn6h4rPQ03TS
dLyM5RZdop7Zy6hVzcuWPf/7fwlayV/W2fVfInh8UZGW2ICL8rd1No3pus0KYeJyCtOvs5NqOLSm
XOOqn0BmI1OFrjVcoZx3QJ7E/2nRXBfFr/g/PmWMoGOcJlBQIgzt/OsHRWSBI9Ij+KWY++yr6Gz2
tR+u7yHbhN7lSspqDXHpobjPLkbNL4sfZiD65Mia3vo8UWGduE72ELNH8QlkNmglVq7rjylY0OQG
myjqjMhUHTPUBPbPjf5fLo/oHy8UkAZsG5gkHSMV/vt8gzC32ZhlbXCHA0t85cqgJ4qC3qBRStZ1
pGfHeP9GSwIEYJvZPpep53UcLcW7QUMngdxQcOKyW35wlRTfl2xixfnfX+L0t8Q4lhP6Wiyi69Au
zDnP/giD/rKcclXyUDGT3HXA/lqA2zCZgIsbn5C9WaytlZ/Dx0Wsma0YY8WVUTvoWE0QJiZA/8Ms
PkxDJlBYDI6+gHySp1UbU03ZPH3KdV82LdJQtZVXLpKbpHNVi/kAFzcFGofsluwojQh6nK1FJiFG
XOyY5Wb4EHf0gQKtA8QNIv5i2vmjiQUKlBxASBXxNcbekNptq0JXdrcDy8rXNrTpmeXoTjbQbqR2
IYOUjkXHT0F59XzcWm5N5DJQo53/huibebIooxh0ALgkLaJw8N7iGPp25PpDWwQRrzbWt28kCdUC
mHsOvlhRCFh1Oj5BAphO0UyG73yZoCNMieifOGl9US1zSgHeK1sjhTEdMFWD3M9O+F3q1LyPIvSD
uyErIjSujpZzvcSs3QmdqMZOYLTagMI4jqQ54qiJXT2CiKpKUwyfvQjZTazI9JQlJjtYggjMXudi
+1rmUu106Lttv/Ql3Qfeh19jPbh3Tacpq7fYoOtEunGh8IM7iZvDud1KF1vulWxZM5hEHEe8FBZw
iohHvogFjKgGKgqvGWGOQmZ+g6M6tHD6glEcVN7vaGrX8NGhFUESRYWwC7GSDHghR/TBJwVyt/22
De2jdbOBs75yJHfVd4bOOd5etQt8IWAqKGzl8hscyM5A/rPG2im8mN6I3p8Jn7fDgpBdC/OLo9Lu
4kE+hUWQnLo1SSxiBQSIIJwhAoaXCbCcY9viPDRD72YYYo6GtRpM1N6zGYlneexXmMPN6gdibnNt
Eqwo18pIu9riLNznAeva+wW3Tk7ruZxKLLik12I/DlyhVJ1xeLU7DzKtDlqMmod6BZcyrSVGVQhM
4QDnuUd8YRA7jTwo+O2RCpAsW4YdcwTth6KeqWCA771S/aDh3IudBHP4Htil4GETytgceFra8pIF
LW3PY1KYIuvq0WtQY0cNslwxeNCsEAjDLtu8J0oj9roOQC2PodbIWmTxOoBY9YDmDorPPKhxWeOX
YBIbiFRkUpFd7EUY3EPYCJBsNOP40glBxClRxAy7npn8A2KrSbLvAhlHNwx+eoGkHouZObRqmcYn
HMbJuaNbDOl1wjvYoRuiG5IgfiN12a2TuxPIkbS7ALeKatoosmeVZDCyKJgxyHPI70xAfzXqk3Hr
ku3H0Cckb0q8AdGgB4SpGYU8PVIOO6eGjjwnDZe8bTbbQssGTDSRh651XVonfO42zEHptuAmbId0
H00tzfB2STEBk2WbPEFEdBSR65QBbMXrqohwMmL50GSuvePBVhnYul/UuCJ6XoFQR44m2ka+wSdf
0iD5uA4utpd8IqtsRjKbu8yOOJKoLnr8AhFIF+xbzqLxFf3eyM4zVHkEp1y28Ru0eOZj2sXZ18xD
fanKCIt3b0dfwDEG1Yg3b6NONEMyA+UqXYtQD59fAY2hsuhotzxh3op7mxRLjkvhaLtDCCyMq7Fs
8XeyAUbiflRLdNn8lKSP2mTRx8gEeIXLA13WBqyw3y2x6PgR0fXYncaC6vieBwVBLHS+Ls6um/Wh
GDTTD36Fa1aHs8O1YW7EG5Mam+4NTjDyjAwFVrfALqmuqWgvT0aTNn7o0IX2H+JyJOnJp52zd8ab
a/HJVv+QIc7nMQJH4J+G1bBBA4yF2TC3o7h++Otbd9if8L4mEV3SbMSnsHOGr4r1skcb2yOVDEKU
9vxxVAVueWVRFVD8DHtqbEZ2P0cYXDCCPWUhLrdT3t6JgE3QmEM7+72/qiFX/DG+bhq4mWp8Imwg
Hv036mQziuc2Tsi5XDgvK3CvPdbFSvOvDhmItvKqWz8AAg31DUWZ293Iaey7pxKnxUGPYXSZCZ1f
8UjIfK5Yynh8liUl9qZlki7NqgoA1VuxJocJ+HMPJHpev/VDnz14ixb3OIfr0r+4XFANAyAQ7+sG
igQ0wYxcF/qAMtnxeGV6P+WCvARXqwgNM52rIsU2tyrHPnBp9A0RfQcfIVYx0nRDhvjUwmLyrLpg
obshHnGbbEGbkFM6ymj+IbAhr+cywpLaueuOveuyAN+oRw+/wyHj5ptIQQCsEVEzC05a2MQovefu
iyIL+RiACowwtsCo6LvRI6YSCEyjWk7cxfhTXkRsq1NHc3qacFkwn6En+X6Ty2Lu/FoMT92CESVl
oTHUxMM+2VyOi9OHkd4OyL5IeTfmPr0NTJjKHZtHsdzQ1U2sLjHsgH1EJaK/h2TENoKtEw4G4itO
V8Qt5YxTYJ2fBjpH/HMkt6RcAO8Ch/8ExCcg+GO6VTsGk52eg3Zyb4yGwVIPhUbWDTZ09Oh1gOyc
wsQEvuObxSLlYLKSB98PW3aBdTAM1TwtYX6Xgmrw9YrqRu8cm3DVXDlyTC3YCqhFgFYHsMyJV80y
IBl32MoZq79PPS2aFe6TrttJ5/OLy9boY8cU1hpOOqRPgf3oh5GMETbYGAGbfSlY7ipvX+PSuvJq
sCzFpyweZ9e4jJr0Lm0hXn+YW00UDnes6N3EE1xNNA6rv+WJ6eVtoSaWPMQ+HPJTC1oNn8v7gN71
KphcI3SLPQPVmDV3A1RstJGkp3vNyp41zofhaZ1T3PcrbFZeYc5TcfdHVfp/e37MHf+mpJbv5vcB
Mr/Oj/kf/+9NmcnQ6fxrf/zjn6Nrf1Vg/pSOr7/2U09Bfhu+c4jB2SEqy/zXyW9xgpHayZ+ScIye
5aeYEv0Nei9BbwngNklIiXb2p5iCR5YX6Jp/iXz/B2IK9MrfGjvwnpiTgc4SlVGJt/Jb44zC0efz
rMXDGE1peqdji5ERq+WhyNAZuZhgcsyyQAMtpm/zIr5sEjCUD8YnZACAARZv6+JQ/Fh6VNgB54kj
t3JlY2xaXEITzRg9gHEfcsLEkVaSBYzKyvbxlKOBmeglCNr+OtgCVmUr7/Vqvgd5P1UZcd/TKcAW
gxCCJWjSQGve+HTDVBqQnAEQGBXKrJEs2TBHAfiVafGzYlWYQWGA1Vj1tnCz30S/HiC+vwUe4TFn
IozUoMeiMJdx6yE796ytstm9giH8NJh1qLs+ekoy85niUcMHsDXlAfmC/J7i2Qo76F4G4ZteoX6h
X4tiQ/46WwCxEfUI4/hepuA12RY/QSfDiWP5o4/DswizH6kBzaPcVw16KY0xYE8FQe3L+AalHV5N
jiJUn23CT9JbzHno6Wep88+ke0ucbDAX6Jsm5JuK9b3a+Esm/bc+LUUDSWJrkN14CPBmIZW7o2Cg
4Do0AzhRLN2vPX+C53yxU3DZkrmtu5DHGPoF2xjEjzh1Efb6LEJazIXpQ5AhdIhNmFZZgM6SAmXr
WE4PXWDz/UyHO4awz67UHn1kcI7drCpSmHMpEUUIibif1pTUaz+XJzWN8WE17lAuHdhxblk9rUN5
6Aummi5EPj9fWr/LbIy5AAN+WqzxUVH33JYFlGD7kIf2PgTYBYOUzAeVjjUKpBLGZ3+KM9pXYOSA
37ltBfOmTiLA2EAVB+0BN1pbO2TkUVhcGC4FXom8TaA+YLLIA/qOE+0KMBVxd0g7+UmY9Egij8zR
ln8yCDmEgj5raX5gcmFQ91ssq8wi+bnMhO1Lu31GWGZqaDyd22J6CazVzaDdp4BgmAx+FfbDEMy7
ZOmf1iBewZahC0Xb+C50IGoup7t0Jfd9CtTPrB4j4CSsXb+4nS8R2gThSHGvqLIBqhvXbU+ODn1X
1SfKfzUtUM5QT22TKB1USd+92L4BXfYpMYgElIRj0EA0N2m62BqdqTmMGiNlMhTkRx/F6BBleHOt
/1PkaBqUnEmzAYRel47t1nHeQKCKCx8RilgDjzBogpkMnm7X4+hrD8nhutae0uQcrO99OAvwdOqD
LPQOebmugQ6BYYDyGb3cewg6AQ54+q628JVochu64TKt6xMKpqJCaI7tcoRZqlUgOmX11yHdBHDH
E6yPc2rJNXQH7whrr8MxndaqXN9jrb7AGb1x0jwOU3AHxqvfY8hls/X+LiGLr6MQdF42QnbqbB9W
lrClVsa8T+jkMEbIIYHvi698Vl8ACIWIm8DUjyX0YNhT+dmAyKg0NFfE+dLPKJ9nmFxKV8uQfzOY
iFFh1hdHAKu80YECaaOt3bNtOSNns9Sxoh9y5r92PKPVlGKsm5lRXUzURLVO52MuEMZgHEAA808G
Kdzad+Nu8Mw1GHkU78YxU7jpJG6JMr8bFGY9SN9e5ICBBKltfV3AcW8xdUNO5Im06THxoHjzEa21
XQcEJ6cLBJt5jzDH8BlDX3jduuU2COE+2+F6Y2fdC7xFhG4Wh86XOMzMitmbH2Ve2RTEohvP2NA/
rKlcUPEKRF1j+zilS1xxjDdYsrI8IBR1dfSTtMpy+bEtxzNrkQ3s5wFjwZZHjjl3cOBgB/IEs6yk
inYjHfC7y/KU5V153Eb7piVQDjIpwCJjzOq8m4OabsE7nvWH84IpfigJwPxVvuUJ7u15KBAIFQhy
DUjGwOrexksIJKVScv4My6+toXwC5FkRK0xigDwMKfJGYs/OpjEEax2a/WDkmyX8RU5YSK4d96uh
QIBxySscd6p2SdKjwQzpHnYGvlPoB6ckcfDHUugiGM2EmwZzBS3cA7b2jw5nYm06DDjiGRJZWZEh
/xkAVbIY5dhYCDMIRC78dgo2TIZKu7s1SCQs0gJJ29A5jCPDQDCzHtDNfs9k9tDR6YeH5VfptPuc
5wbTURTS0rkdbyFizpci2+6yMoSSB/gDyYYTxnuoOl1ju+vLUH6eh2446W3+lMS48YcxeQkwn8pw
893Nw5603Scc9uENYsiAc0ty0pzeF3z++D/ZO5PlyK00S79KW+8hw3gBLHpRDofPTuc8bWCMIIl5
nvH0/V2qQxmSSlkms+pFmWmTi8xkkMFwXPz3P+d8x13SnaFAgLABMLHNI/05m+MusLCmyutCOZjA
ixoZZrDt7/FUkjpr8H3WpAg2c+ncakFe+5aF86pYpsKvKkbSIeuDvdrMb0Lhw9BFg75JU+d+Kux0
5QTKIQ7Dtyax1yBkiCYnFQywkq+3q2usxtqKIHvoK5r1vYI9uQGSxa0Nl1BSi2u1F4+lKbZBlU27
JTQ+E3W0OWMx9+g6WxdnKljW2lm/6lhvrtRy5uOXaJ3cSbqretFeBB49l4ioD0U1X+FIatdAY8N1
YoOnE0ryphb6GWITC6o4SLx6qI7xkPGr7prtvHDF7Q12Pb2a7pKQnETsENFVOz1d1bo01pIJ8zFH
vkch6e7aCZvNgNZOhGwY1uS7Pa7D8lQVT7kTagBE0ILzWrmHdPLQuMBNitj14NBi8tFwA/ZORzC7
rNe6Gd11wq79IOv2PbArL1fdB7Por8NsdD2j7UY81RhGasHzZAzdZgqVjHBgsVeYnKQkrhInbr9V
2LAnoFkhvy1eIcmuFuroLXX8MVbkmSvxKVTlXjFYxdo5ObXUTT9t7nJoUfr3YW6OKEUjRnzrezvY
WyTwZl2E2gF7c7GG6WV6k0ifwjwHhDU1uuf0wiNLugmDb6oTnhgMTHxc2Gi0PjlUEvhX9Ulypcfl
PqhJ9DpO+hKiusOWS+61xsF22Cu3du6Klc7y2nTHp4mZC6bgUuFRLgu/7jAYsQAnwpnW/HVM4IHO
2OCmL82jU5fXjkO+PLXrzOO5+xS6nbOU5vIbpsZGHfrnauDRjRrtJguLxuOzcDZETJLOIn/ep9Wd
iPk3YhtsMF5OnNMNvB6zgaklyC043fckx76vxd1TPUWcQb36sGTxYZqze91U8vXYcqTa6rdhWPjw
s6pYuR1AQDAap6ptNoU6OSuVpTzHoVryqU0+XGbjaICSUk3Fx5I3XN8LIjLNstd1mMRgBonCPFQD
eJ+WKY/lFnNmzSczckd7W2YxP2Rvb9Wp+RQRI51dTrgZmPnwQgI9SJ57vFUBjkHIYG+Bk35Luv5i
mvUhjzttHebThr0ob0qj3s21fTtFmj9ZOWuiurybWndXme7eZUtfq8k16qs3xxo5cCPyoyDzAdWd
GjZOfVx5maUO+qFNNAKBoa2nN1mxiOcZoqBzVSvWwH9hdRjGZkdAf6iUX/WT/+6b6v+8O6jBzfCv
76DSh/TVcv/nW6j8wh+3UE38osquPUtHwEc/xML9Q9XHgmTBDwO+Qjj6dz5tw/iFQJ7KUW+rgIyl
Gfu3i6hU9UkDYuFG2f/yNP2Ni6gm3VG/Vxj5w3SyhQZDGEBWyUb7WUrlYx7BkkL7ws2dRx7LPja0
Hi7BlM8pmzU8jsMCgneF/VYnPgHV6q4vg3UYFeHJ6BP7LY1k6KnmfVu/whXRtOtRa4l6J8MMALUd
CveSl91yCI0+i/d1N+v3eMYVa6+1KsBB11W6Sx4YwSGdhUqeKU0T7S623cw8Yj7K2u/QKMV4bgwA
K3DyQJOKIvsIhjpel0XcA8lCJEi2auJohL+deLjt6rnbmxgFlRUZIjza8Jz718W0oYzYdaQedTI4
JJJq+FRFwT06mtzaa+qm83t1jo8MDOYpCLCarxI3cN/6tojclVkH47K1TQFTpIj664glNhrmq52G
3xOc3T7yZ+5VwvqouvxDuCWvwyGvzfexI/lN8FivQ9a6i2ptulTpX0cRitWgq7gUR0BquBLGZMUk
4TxpSlytXVhiZMzFsCM2o+8j7v0nBSv5LtUaGz24n/ZLVdVb0xpKrxmWjoMZ/LnlQAzFygyGbCB1
FLXVWrDCZh8YrJ0uPzo9rnc4yvZ5tqxln5oEtGPdzVamG5HL5pbRhLxljdlJkHJ6pI4iXVeOC3M2
UrhaLjtszxcjicUWcEK3Utocb2zAO6U1p2czMoN1OrLXwzy3LVmKo6lMjOHNeJUaU+epETxuN7Om
dcMs5ydKpV9Ubph3RJKM20KI4iNRzeaQ1zFKzGAi6sf1e8GV6R8+s1yBwej+t0ak/8igTb+//fHM
+vXLfpxZZEtMLj6OgxhG8hiW8m9nFks1w8ZUpBr4WY0vONQP2ySdORQYGKj8wBExMfFVP5ZnsJkt
AE/kVUilfKEU/86Z9Wfzj4ypgHqmVY0ma0JKvz+ziOfVbu9E/SUBI3dwMtc8N8V0dIoMBnjfPArI
piAP0l1BEnn5YJtVKzc9cOK5XngUJWXTjSomZsCbXWgeSknilOCclSbpnHaqKdtYEjvJdWzCFIYn
sq1KKhaaDA8SiE93qItN/gX+nMPqhVRwuVLwea5stLPEI2tiHoZJWQ5cjKYo8GZnjg99lq5nPVB2
sGs+Q7dYMPOoAawILgORlroY2UMck6TBj3os0rNjFKjm8V3VG1HlO8ALNpXmgPRtFCzcg1vAiyc7
k2Wsl2B5sWjX3GNqc4rVoeZZnd5trKm6cqyIdLEByX7I4DspQYcYFxXjjovrlda2rtcV9UsDcX7W
Rj9SCc62+lk1w+MI1WXVJRyD8I5rOH+OR/ix9wtgmTzzSkd8ogs/g7EUryAFh2BTW1CycRMg9Eat
tnOb/jZKjTsnUYt+D+ZF6W5i8ho7/ABeUUdiR5y0Le5EhweV3V1gD+w2Cf4Y2sh+C9b+J77ycS87
Vrd9kabrJS+u56S9IjJ9KLLoqlb1o9NByW7Hg8Ktv1xY0tdgfZPFs+LqfSz027hzX/6/LOf/5408
5r+lzt19lfX+8eywWIX+a97h7DAkdM7BxKjCOQAj8GPeYeuuQmZ3ZUuECbfgp1ya9gsrHUyPHDpY
HDlZfjs7iKzpDt4jF7uXyqn098DulvFHRxWYBUx42LqExZSBG+/3Z4cuv3mV1dm1mtl8wkx4xpo5
Pg42O1fiuhdE02bVLvGZ0Oy0amZnV/OEY8sGfQ3/46Ps47NrufdmWmReodXAjgwXomi4sCw3dk7W
b0SHjWXSdnDE/Dxn6wUcFbOB9tJaxKa58q6MKfJxRr5FNguLrv+wWQiOoMIhn5KP1qpzPZnfMUBu
qV0BpNbi31LivN8lVbPj+npsk9AvYWIveuIruCBWpLpPQi8fcGJejXqE46Yx4y2r2LesUTe6qj5j
FbQ2dkCsuapz9iFaRjSM4NDKJBIPV37YOEF17HRl5xoJvofkLhhYsE7sZnzCfGD2zJA4TrVBmlV3
OT/c0bCB2S/OCFWnYJ+k5PbFNbJ3PY6q7axze4y5+63Itt83WfmZVT1J/GIkYtMmZ2Q/qK1MGn4x
0PESVbaFTaOcERMcmAvzIbI6EFRj9tBZjcI4QAzDKW+iBpR14bgHHOaAuq3u7BbSqdRv9W66ifEt
+P2icNBDGFIX51NTCKgpenEzRVy1TMd9SRLtdm65qteE+dnWGVR+CON+yeMXGFjrMcsNCnhA9hlx
fEJ7OCa1+tm2cImShYYOPe5nP2rJi2mBcUNj0FOU8POHM1mYBeyaJypzB+hPGiANEzcTPQBJCsA+
W4/swcyYl8zcacSYiOjE6tTimgGaWRbRM0yN26lBQS0d3k2L0W/DkEVOXRC86WbXWo9k7EiqwOCA
y2Zu87K/lKXzZGkB/+4tO2uN5SrtNi8AJE5dEp9QTzF9hZrj4SaL16ZeMBXiX/CwkHUoFtU2MEq4
Pu6pxg+/zxSWVmEbX6lJ+VInNXivLM1XfdysJ8QAMfKDjvJ6rWVsLTX1WtdhVeF6ZCRlnA77fVtU
D70ybMu2OEdluYEZ5kL7iFu2KwOkDzESZcgide2ow7NchrQDdQjJtB1joA1JgZJTCFBPM3+r2b4u
Ce2wGRnunDTbQEyql6tuOAcKHh/V3YdTcdGs4lofgl1mLRcEE1oC5mGrc51Z9STM+zJa1vrSZCuR
oFIrOVQpbE3BqmbPURb8oUVuVZ4j9BwGDxpQrg6fUTqlECUM29cr+aim7bcJDPhYOrQFTD2p5zrx
gt51t1ph7SOtttZLYObNSoejtcL0MW0VZQpJ96OKlHYEHE/B5IvzkgV71B3KIE02+WC+91bH1g1A
YGkMz2Q0vi/2yB66hTEWGuP1TBAc0JGAn96Jzuc4Ggh+94XeHPUw646cPSSjnIqWhKmuccCQfreK
PBEbo+cS8jCoqdwim4227U3Y+uGIU3o12VODN6ln1+87hQIgpR64Hu7o1pirVWPg0blCnJz7O1fN
te5udBvFOPZTDxbR4oX73CymPlzSrtqVctteJXPml3IDH8tdPLCAN43lfCu39B22NZPd2aaRG3xH
EUfLnuI1IBpz1bPmr8uyJWqOTyRHAsAX43jRwGtfUxdxMKRSkBYOyxypHpCRf2X8eosSyEmdw94b
Pf8Tn+bgGREZVlPqEKpUJJquwYSASDHDrZhi7AIp8oVZNDdK0B9J3r0O8fi5KIYHxBgJ4kv5qCxA
HMZ0iOa9pY45Elv1FqflLUupcdXpMgAqlRTCMXeqnlxhLDgpyfySRfrnIrWXNmRSGXIcRPGaqU+X
Ao1Jqi5AsUknjh41UlF01yAAssg+qwC+1hiG3sAPQtuVso8UgOqYpSUfxithp8taWC4pWfQinTfm
emQzTeCkPy/QK13MU+zik4oAHMNOW6rd1pAiVAX425ay1NKwrSoC5b5jZrLCJ10KWCQ72UYpEv+d
uiPfXJK9ULyMxaUWYcqctQFVAjANwlg+VaNvo5VVDrQvxwF+GGr2JR6LM3Cd3Juq4ILjZNXmLQDg
7k24I3BKKcJJNY60DuFSqdBZSf8QSM2uH6GpZuUhUVJ+RmQ9DIvRhqcOhmK3oPlJ9a9BBkR1feCA
3tD9dUrzqAMGaewMhMN6APoQoyQOSIr1aIAxq25dq/wWS82R3caVqXZHU6qRQ2EG1LJojWchVYYQ
bDh1UTh0C5dthKDpWrMDGZJ2Jkevt60Vj15stpcUGZRJZEOG8XHIKXBI6whFCMV07s3JT6WKqmq4
alwIMlsFhqBnS7VVpMOW2i9ty1oY7Ae/UI+tykWtpD6BXNsXpGtr4R5shNysKFV/LnkJSo1XiZdw
S7r1mBWu8IBDMsfzpB3BGF0LqRIrLWuUrlDz/SI1ZOi1VEh96cq2sTfN+Drqk0cFSMSGMpdixSHH
AcfCcsmZ0sE+XetsBzCo0bQgELGLMnwyrPrSFsS/EbknwbUC3buU+ndYiXWHIh7k1bNaOjv6qO5G
FHMD+6shJXQ1k87b8S1kD9Pb+oebsthBc1+k+O526l0h5fgCLC5nfeT9M3ZzZ7cIY/y7TeM2+yiK
P0/d8ot+urFjOeDe/XW9/koB/TZ167+wYeT2bWqWBaiWBd+PG7tL0JErO9d8HT+eYf60ZXRlvy1X
df5DUwlO6n8r6Cj+uGXE7kIMSfBngjIz5R/3uy0jCpetT73jXnTad1aJpS3VtvlC0xsKXEHfijBc
vbqG3twYXyD7fAD+DqHuJBL31BRu6lV5+i0FxSDxXIPe4bMwqVBZVUY2SYz/si8mo/b7wb1JnfFT
WrY8u3He3F7fKuiyzDXr0Kq3Kmlhh9TwVCk7hRSx1RBTt5PyFCbjTSqDxqJr1mEjdraqA+FMKvL0
HA4ynByTUsbWc6Uv6jrWMZKPEUFmVoY7oMdEgxXtW0LWeaoHa9849jNZ7f3SjN/ZAZyxq2SWzNuL
F7dBWpDh6coqP7hhrFMZq05kwBqcen3BI7CZuDETBNB2NWnsQcayRxnQTg2loYkBYUE1wLL0BZuA
tlyectLdXFEw98vAdyOj3zoDZmQCVjDwpDQyHs6L2fYTEuMOyfG0TYd1bdpos6TKc9LlCER3UVFe
MCTSC5UH1iaXUXTQG/tRhtNpcJoIb+TWWh1NCEAyxF7JOHuP4O8RrjgxDNzkVrpvQ9Ca4N/f5xwL
kypj8ZjrH50MJI8RQtDVe0KmmvbJdYNJvt+P3XxKZMieV0aCI1wG72UEH1U7AcpDLH8in7+Q08+V
Ynzm3/PYWa9LjueQ2XLIMvLdyUEVwd0oA/8NDRct0QG3ZmWqF/1CX1GKoI1VsYzESutSt76aQjny
tqhknjVE29hxICXTeuGeWU5HB2oemSTx3O75vVSqjzRabaPAce8CVhKul83SwlKXXAwGaza3LKfN
bJ31U7jV5hKFCoiZfrKzrAeJJZydsqTqrymof4QXlUv7Xwsv/5HhZvv4T85DvurHeQhs0TJ1Q2AZ
sh25qfxpC6FCxyFgaVnc3khMcor+OA/pbsH2Z6iWwSaCoCOn1I8NJsVzOmsDIOYoL5yz2t86D/+U
OILGT7ssPyAt8SbJuT+ch4C4xiQxnOyiaPVLGCP1Ln32TZutfablxSpBY2ib3reJe6uDvVmM8OTO
dD86Uh+UHUe53NT3IROT3eub0FI3sNjvxnjQfceGLTOE80ntgjXcKLIFWvcYOzzLmSYp4Ui0g0Iz
Rdq+5QJiC0Hx90DnQcK5E8IsnY6TM7wjSdSeQ9p7zS4Y+9BgrbS5WHy1R/Bucjb4uG87z+7dHn+E
KryuLOZNUc7XOsrCmjsK1wbsDfhvn9n8Y3HBggEQ60DMrlrXEzy3cMA7kIf44iKiZ4XtXjOIPg3B
gnjkcBpEkTLigCQVnogk9paQO1SehwDQAtraus1sg2PHRUkUfZwelyg8U9t2rNhjRPydwMUBn2MI
uh3jdD2EFLimeA4CTb8P5qxjG9rnK+EaBClb2vEAXDoragp2uTHj53GqJ4fNgydgxMGktJCbwrtO
T6pX0gCPOBTGY0e9VGV07TajOADbRPM6UQMXF3DeqlGszN4qscuxGe4NekE5O85RqD8aNXiXPh4v
MCmFn6Y9V1RrCf3FxW0fNi54xLK/NZToHeR3uSV54GnkCY6leOumN0IXG7MSb+1slFvocFvgJ6Hf
VGNePrpaVNxlKn00H3G4vI8TFbYAI327r0oqCBpJTOZAvQr4fO+hlKu7qdPLi94E7sXMg/Ywu4Fn
uux3R2rBuobbEdcW0MymO18ZycJrIZboZjJbT2Mxru04j84GhGd83Lwqv6jPzRcB+p+x72vsM1mO
/vU5d1dS3VL++ZyTX/XjnGPbyolEg7nNSWd9Ubh+mvtQYRx0XYG4+0WO/dc5J/+vXKgM8FyS9fXz
OYeqg88ZoRj1WY6Ef0epcfiTfqcug9CwJS4DChhDH7yI3899+GUhv/f6fHFwgV3bCSuuWKvs5zIz
9cM8punLrBE6dLpBPY8zkAXiFhFYu2F5tN2xuyPBkm2XRYuP6KmBbysd5cExXG2nVq+yLHLPg6EF
J4L2DI4AXld4plVz3S+d46u4n3cKu8JJX9Chu6jbaZWR0linFtukGIM1UEzmkKqdXvMoCg9lDbzc
VLpkrRcUALeOU7FHnR9dvfaizHibg9w+9Ky+N12pjMciLV2/KcfJA4sbgJ0hTm70PO1xmhIzo+Qo
ium5EHqH08rowN0ni7xKJ8lHhdJi3pBLWNNQEcoWypdoIsu0BIMHv/SQlFwgsSxivF3c0etMW78O
tfBZTedD3BsNR0BxY5W16mO5U7adCJfDEvbGIYpU28+M7EgFSLuPOwilKK4mbOjCJPWkBzuhMZKx
qkkPNacU5vDhZmkS/D9Zi+tOsZaVYqHLwgLl3u1ekWpOiabz21F6hWjNWNHWEWvapW11Vt/2WO3r
qD3QBvpaVzYDVIYBFuwKtC3A/hHo1s5Dqo+ojNKadaZAUQ+EtktMBXcWdLLJGrZAywguLn31NpRh
cp4684MWUQoEVQBXAHad9ciuPU3CO3rXbnKbF0Y6TVt9yB71ZOzck+ni42v07DLU2nWpO48qWTQ2
pdQcKTQd6AA+7Zrhm17GlZBGd7S98Ny27P5IRR8hun9YVtkTIR3vhgiIRssig/gNc2ueU6UQursi
L7eDYZ2SiabvUd1GWk8lYYbOJgJBF1SyWcL4ki8xns8u37gmL+rFms8WmzfeLA+OgTmfBfJRBFio
CO695nqD0RwToRs53ye73JbW/FC7dD5PAb0S+CeBvxT6nF8R/caPzzDRfzdhg3uaYTXRhuaQE8T2
iqcij9OTJmq2ObhTSwBigbG2tWY6hXho9/8cxr/ewZkR//owBuDxNnw0b+2fz2M5XP52HjNcMlUC
V5S1wVzIfzd3uq5laZy8hFK+rsA/ncfYfGgbYhw1fj93QilCpgJS5CCBSVn975zH0D/+eB479BJi
KBJI9Tp13n9QzovQAV83OKzY1Szc0eu3xUBJlzAc+d4eZuRdvT1NvV5uSTmAm4c7XySQb40i/9ZI
JD2YGKCxkeW7Bvz5cBQGjbNR7YEEXFYJTQbrSALu7VqgCo1Tfl2H7lMkMfhDAxB/goxPUvPEZWnn
lGgahB62MF+fAqDU2COdM4tLJhb8qTuc1IcwJx+QwuBfaJGgTcQ+s8p4CCWpvwPZjxEvpaAzvunU
5k3HEU0gLmRxh7FxBJxAVFhaK4flLOgEmGQ5ALmSZ5e2ADENR5f2gNHO7hUrP3c0AnJvjB6KJgBx
phECD8ajvZi3BU0EWqi86DQTcK9Fh6hthvPqVNnlMyfdlRHl7BQtmkgneOl8KN66zGmp38FZo9h0
WcgyBDwH1MQ2GKfnoJ59xyl6H6v2DAcgvzRUFRJKN3alrFiYxv5qzIZ+FS6jtrXSbpMAop3SgW6O
lD55RV+oEhDf9a66T/t5QwKObXhYXE+0O8xRvo8JlK4Cu70Wvf0Q1UHoV+b8LKT0FI80BxF/Sr2s
iMuNEc8tRZH2tmuWmwbf8EaLssNE6US05AQSO/1BYNkkQEmYQZTuJRls/SqjtGJywrsa/C1t2EyJ
o3MUc5J4uqNuYntg7K0JC3ZL4nd0ZhAedJ4jgWbW1wXlWmW85ZJD/iMvv6e2oN9KVpPAnd1kFG3M
mJLnbt5BY044fpNvTWN8wK3/gANK50ttXskY5STbO2Z1yH0ECPORtxSJ8dkBdkfdR0ntB9VQ+4wa
EKuPNo0TphuN2Lo/T5Pu6aGYt87XUFxYfeePg3ITV+M7Hu1RLowxcKhNvV1qaivsrj6YCoU1tVnt
XMHCqdQlG8uxHWIfzk5XwgKm+fRGoPo+Vsv10Oa+Ks0ifHT5HLlPqDuGF9XdcFebWk1TRsge2ab1
eCY0CECw1/wuq+gfsrJbdwAMowcG4iMobFecgqHV8HWxMMrChOcCx7XP2l/bGHWpc3lhdwtuHsst
yczjjM4ZKNF3I5TDRZDfOg3KiYSA7DHjt6uoG8n2LL3fmmVGEeSCfMiTktB0vsJhch3Y1inKVXVd
qYmJZMYvsBCvXacd2vKGohn0ocbB55sH+0mUV1OQ0ePZjQdXL9/NNgMuNidvuZlXvs12aa1MCs6x
hc/HaKFPmbUVrqNF2RqzlyyvLPXfh+aUJPu2HP24rDGvBnwMhjx4m2UsWp/rc7CktO0ayt2Eqlpo
EUNDHT0qYfqR9jwyOrtsnPDWpnW5ESs5JR94HYmXZvfgNj7doSQFMPG5A5i/Ncsi9M2JUVCpMMsN
YV2wHJqss1bk96jrbIQG4uvEeBLfdpdgPS0DzXJBUHphg2U4Gofz0KQO+H9swpkb30UNn2bLDLV9
kyHgmwH/4oTaQcPMy00ZVGya4K2jkAwLSSzl1uANDVeUByta6mBFsTxQizQNNsPMzFnW5KKkSjSY
EVZI/qzeqG9y0zhmZXunBup9YMXlWtOHQ4Db1IcqRt13W8rq72rSmufUtdrRJ3ggEq/tk2PfD5hg
usHI9U1MEgNLVNy+OG4Ymad/ZoKvmcD6t4uo+4/oLf+TlU4ad38aCLDDmFhhuITxYv/9Yl7aYbi2
SUCX3Mv/azGP58W02JQ7uGSg0lDC+K8LmvsLAVWIhV/wK7y7zt8ZCKw/W+ngClma/F6kbcgq/2ER
VWTwpTN+jMvgRmm7TgyDt6tK0zsQ1R6aqtbx9rekfhawp50kcrWU8FUNCmtHA6tXYWzZhMl87yhl
ve2THPVHi4meCo5meK7hF9l1+aK8ClH2ytqA/drSTHPLZ3zcikYEp8icxT6Z7LWodcOr7KE5W7rZ
066kR5vJ1r4BmP9Ug77bVWNx1XzxZ0VJ3waC6C2L2BtEOHFTS1xtmI70JmS02DUYmnlOEd5CSnZW
s0sncc5P5UzpJgl7ZadJHG4iwbgOhFytQKFYtwM53K5Ihp2QmcxQQnU7A3hDKkG7gZ6Uq0nCdzuJ
4bW1TKMcbrpZ4oxaclLAfBd2TgvRYmYqKRMa4zmzg0tSRoep0Fmq8PQz1TMiGPVRhHQYlh2btSFI
bkur9aDHHwdFZV8uDNkUUVNvFcHfIVmLaI/a2EQi8OkRf6AH6Q5gzA6/krO36uWapfe8Zoh8Mmr7
e9mUVzV0eLbsEekJ6xqi4304cHCN1MQPqfvZVOyAevfMmdFi+FOER++eDW2gfE7G7CCK+GVKOvrt
XeVzCp2Icjh3gyny1Srcj6qwYZIAd/CSonPwbPBrAYuMVBKF0SmO4eSkrOUgL5ILmZPHVCUNwooK
XnEBjoxLOTGaEjfK0rZPYuBUEthemC/9NIxJRoUx2dWsfiwpotzkakYpqCNoHlGn+1Kih7+8EPHA
bguk5OCJTOGQNvvrSponVGmjaPBTmFX3zHXuPQ8LcxMY2nslrReRNGEULOQCacsIC3vYCGnVWGoW
aSkf122vqvFK/fJ0xNLeUZnGXpGGj5B1hmfQcLGfcIPMuEJM3CGGtIm4RM58LeG114v2k2uZ4Kel
SoRnv/IAZGSbeLGJ0wQu1AjXRernGSHniZYlTSoBu1ZD2lbo+9yGA0aWyJkuBs4WHYdLhNNFpM5e
wfnS63vcrcF4dvkzW7O7q6RJRuCWSXPxZJMIxsaUrUYjmdcBzppUo7ZFOm2K7tmW1ptyYhVB8Y3r
t/R3eSVcTDyexaZMq7Ou91tSsw8tXp60Dk9dXuU7DZcPyI1rHdeP2dO0Z0sjUDNNlzzTlwMQlJcI
05AlcC0RcrL3SW2fdJdkKwajTDqNHOk5KtN0YTrGhxRGOJKwJcVIK/FJx6ykYVrKpHvJkT4mgaHJ
tK2nvmnRC3E6ocK460m6n8i/UeEsHVFwwSiY6LstuUGidgJou8J2aRTB0yIdVXWFs29BA1uk2wq5
elqFtJNXmLGCpfmopTtLX+TQQmseiwbaPaSHy+XX6g3YupjCbrpREsul4wuOsrlOB1TBFDsYGuDR
xB4Wk8EFrIpjLMM6pmIhW7CSBRi5vEa6y+ouUyg5124JgbxoTPoYe4obXXrSNMxpwu23nXSr1dBr
KPYcbhqMbAGGtiFqz+qXw61yDnD7KKi185sME9xkx8ohwhYXS3+c2k0HgWFuCDM8YpNueUmdgewu
xtTPpMNuUaPzIj13FusCyu+yz3AJ7kHFspfXpM1fevWmKHlvKusSlrj4VOnnY9+ke4X0+I0hrXsd
tj9bGhOWermZpSNQkd7A1A3vJiP2e2kaZOnuuvnAZqo5ALeMeAtwAaul19AYBYRlUVobileecwyJ
Xai+1e0Us5vBq+hgWhR9/qBjYqTHmi+lj8MczE2DzXEonWOM7TFpA0D9fIi8caG2zMIcSevs9wWz
pBVyZk/YJwVTGLTTD7xvIHfqtwUbli39lu2MRoEBs3QKmhrxFE1YM4NU3dlYNVWUBJK3O1XlPJJe
TjvGCWNJfydS6H2F4XMxrY+046CMDVH6Q2ZDn5qnVYdNVDPwtE2te2lcfBw6VtKMzy2hVJM6Q2mB
GKjd5kG7IdtJqbfEF6AovPHubPwyjiCt4x33kVjExZHgA4WrzrZpm+cYJoJVEG9hF/ig2d1LIrEJ
LPHBTeMTlWQIKnkALCyAFozAmbYN/R/8fN+apCbg6JTvraQzuIk2rCkfWq7A9Fhr2WPCO+88SqoD
CJljJzkPHaXohiQ/uHn/jjRdcYrW70ZUXJLEBcwieREdeRJNEiRMyZKgBnmALdzBl0ggTfCU1Ygm
1lVkqzxlkkehcMEsAVQAf4t8m3NSkitGEBazZFnESvKaArewRhsHV55vKWXeMkfwbxAMd5pVaWRC
a/uwKPa+6uDbc4hza2U08mJc+vj4tPbiLuY6nHPS8WnpOfl4mewAaLxCAtIAtu521SeNrrioTPdl
LBXNV2r4GmEhCC1Z1qoKlWe17oMbApBnTnPoTWcTLTiKTYsMdI+VR/3SistfheMmVlGRaSUdkMG+
1OV/5uivOdpAF/jr3ZpM0p3fuo//ROuQX/jbbg3UraMxrwpgnFjB+Z9+0josXSONYrsGThO5kfux
W6NAD3schFxLqOqvVN0fmq79iwZJlFze/9vJ/a3d2p8cLtJLjqkdiw3TvP4FfPmJIdn2Y1/ntBxA
0LhuQtOfyV3/9Eu5/pX6+b+KPr8uwSi0/+d/8/f7SUuRbenAaaDzSy8NDFlT7vZ++g6CXZfR231/
Ibp+iG0sXxfXumnNnRZcc4K2mv/vvx8GoP/iO8qf6KfvqE9OE4NwI2dT9dyMUXLd1dyWuizBLdub
sSmdw9BZ1ZVIrWDVio1I5tqvgymw/A6YpE81iHiddFff0880cHmvzLXWluw3nIjC7OyxcOhgrhr1
fVDST3dSnouF3w9tRqRpOUCTkCUjRUcwcfDV+U2m5OjFcbgzU7Glyj3eWNA8N2FFJXEwT7SlkL5h
wOoNUvL4+FG1CZY5Hmf4LZtPfJPAAewYVEMd8K8EjDNH6F0xQa1pwV3NYrwJ5FYjUNjFldr1EBlS
zNgXqqzkS8Jj6dLCZCgPjaKFq6F4HRbjerIjUHRLy12p3SK5bE1e2kg/0yoS5bhRqqbdgn47l729
3NlfSZfmK/WC3iR2giRMIiMx9Vc6hrQ8/0Wfk+29ZKF56qDaXBX5Ah697WCIsBP4lqrOSZCIpP+O
JWS8n1LSkW5wpajp1byIJy3D3lwDcWEdgvFYj7//X/bOozlua+3Wf+XUncMFbOTBHVw0OgeymcUJ
ipQo5LiRf/19IB35k3zs85XnHrhKZYlsssMO71rrWUCnv3BGNteDaZyZpRwAvHELqE5tMKy7btpj
Xb5V53pVBDUm0+k0gMnqHPiX7ZwzyzKHo+zV5xrNA9MVEfBifjRhRNBvMaWXuCtui7Tddg4hvzk9
qCX2+bGisDVtafCuR1yJsk8x6eIVlon9WLdTw7AYBoTIq27fdUO7zQIhr05cT6ds4qQgMR1m+RdX
GW6MyLmTXUObFzlVPAHNRqvyQ5DFt9if7oe+2EQKLwt95Wsn5nidt1/siPyjZiVXEQ5rt8vJV42a
T6bMN7AotfjCPUkM3xqM7dD0G5XQYms5Xq5xPC7L+7kwbvOgptFyBKYGQLO/G6fozgqY9NCnAgvz
hfjHarTN5qFScRIncfO1wEiQBy6nHcz7M9sQWKqVlvYf6hAeC8zljP+Y4NruHvggHV0cnCzsDfS/
3UZxfzZMQvVmvh1Vc0155YpWlKOU5Y5jA3GU1gfickFD8MWg4P2yrpMTMuSNVSreqeioXf3JoIFM
8AlZ1WkxeIWZTbuUNhWGU8WmisOOTKdySOX8AFo+8nBAUDpcQp5T/SSBBtEFpGE7R+CYS94S2zmX
sC6gRsDoGySmvUAOOcHR3tl9W2b+cTHpzFL+26b3uSGKWbR/tuvxlb/vehq1sTiP8CzZqPaLgv77
rqf9RjRh2Q2+/w1f9WPXc36j+WtJUnFuJG5ls1f82PUcFCrH0Gw8Tgvh7O8NkMQypfppV2I3QuBH
38dRpRrLoOsPu5Ke9IWcy5GjV+aoWKXjaqP3UbKukn6V22O7kUqK4WU0jf4TYOQjaru7tVTHXjQC
fDbAX/2gcLS7MLQYDGB4yqfCxnYTQzBt5zczEPMF7O3HYNVybSeMYqosuKd33joXPRLL1Ov1pkIP
uADQZseJntpoWA+UN1Oj5xzyVhzIQHxNx+lpiPKDbaQ3ddYggoidG1NH6Sagd2mkqihtZVGfJz3z
R9UgsrK0H+Jl/Uhs4xF66GvaKx9DH9X+Un8LKpUbQFHmX7jiMB5SlUsL5sLXIM14Q8oiQL3y+wK0
8V3T0ji54jHqgaz43VQ+RXl5FVa4BlfMfXoCKlF3bb8Om20XnsN4b1X6XS2tM2bYj5mZxlTgBQdL
qDfpBV1gM4/Jc06tYSCCz1FhPvQmZ2s1+TqFBADiTFwhPU+MtWaVu6F8LBWMB1PHna3LogzyMbdh
lozap8fiPg9b02/twdhJR2W+QQX4mrim7c0lsz/EfrxorA1rpV0a19pwl0aICUSItl2nJHemlgl/
BEbsJRNbthbDsDFLRT83oJbYxgcUOEerOMgDr6LwFIdFqW67UZK00GK/0VuqvbrE3HUB5W9PRajY
4VnIOX9OwEMBGs5r7gIZM/RRtxAcxngAGuJ8hXO/G6P+JmobmEG5bO1zGwBgfW3IsHzJs9JWfJet
cBcbWrAxpaVRK4KGJ2m1BMsysSgaQ3nOZxE/OoPzRCH9iFvDfU0pOsPvRTHjAKjWV6qu2YjJeXCL
Ya/nJk7PoNtmnIt2WFgflY6Ssk4d9PUILmkL2Sm8QwOpPZuyc0z2LjYGnksdg+7ITe+Bd4BNTMMG
GF9n4y3sJclkb6gewrp/l7QSH+1UsDUl0UelkZWf8dYhGmkXxSmD1lM7PBaKqa1st+12TRc0O9FY
2X1t1dgfSrt4SMXU+hUlRnQ3VQ+l0/ptawFCwBPjhRhSRqtIWeyVBGI9bpW2nG7wUAQrcoTjKl88
LWYsMLctPpcpDqxDO6lvWBJWdTQ8OZNRIQbjjiEqkPghzjBPjIbCaModXtME4lKBtuHHTltsx6pM
P6e6iWLcDTXDA+eQDtG4g1XAWa5dLm/NjOeHoEtzHRYfTxTqztnpJ/rqbE4vgJ5Wdhnzycz7Bm6t
M/qtKORZcciLSI0TRQqM+/ux95/9aLmS/PV+9P/yty9lw75TgJiY9l/+7//5TtRcvur3veibdZb9
xGGlhz3y617EtcewzCU/y0Xsl61IdVUdywMAre8KyP9sRUKzmdTgb/hWR2n/HS0DV+9/bEVg4lTb
1hCwQaMsPrmfrytlZc6pSZPyjZrpDymimZDmMTfkNR3RV4dFVwtVxtCasUumKaFOFu0tWFS4duwC
T63J2UCn6ny413eqQZ8csVTNG4zW4gimYTJYZEyX71UwpVpn6LB7N2yEV0XZfbOognNROvjpx7NS
oxjmBQk+WBjKShnNwLcXZTFbxkFNO9QXFdnRBhlwtvu5OCVisYlZoiZXzxxaLIKlJNLvLBqmhTvN
m5viISoc8v6L0Kk2cl+jfAYY6yh/A45tG/kHFQpP4OcVLxPmrkQ3xXXOkKiW53mRVAmCveMySbza
7CayViykDTjKk7ZosdFbo69aOpPLkv7Ioe+ok1jEW5t6PL/ICEWKWVbrCo13mDEVM0b+0qH+ai02
MlflF2r6YC9RiOmqQm4p1sp86hCPR8N5NRGTy0VVdifq51yE5gY/YLwozwYpLg7v2k1qEdQM1W6t
OaCyWt2WXhuGcm8vKjZQ+TsO88bVReAeEbpl4cCUXrTvWIu0jVj0cGn3KOMWxukqKNt1tujmQTpo
XsONiVjyHpgcOD2IXIlT4KggnKUu+nut04LBkBqwpUs9gcXsax0uin3YqnTNIeKHSpl4rERbYEwH
mdoPhkvQcdH+uQB5LUJE0keuXxIY8KolkE0QbzeAZVpZGAhwXDKLxlLg6ggIaaAV6m1ltMW9E+Al
cRgXVml5MxvN57ikV1f0yi1v8De3jGGqcoc+RKn20tT9uQGr7yvE+Px40D8winz09jRtZDtyiZVO
sIN0/57zEaXFFD5ZGlswG4fu3hShJPqoHvok+VTN7nGu2dXNMtqWg3Kqp4kAu4p3ow0DLlIpmcdG
ykubzHx8+ocIqlgd2c6u0OG5gBm7D2Ydm5ronmvdRijgTOCY5QFKA7rfZOUbRxaUsZuPTaRGTAgK
6syT+Z7vOZzIxvSgxsty3YZWs/qGle8b+gE0d3nxRtwB5DgsXwuMZ/CF+IZmcJxSFsVBig6vpUIU
JZrimrKsjA7UUZYvoRqEu4Kb4W3CXoL2UftjMWnAQ/MnR8xAvVpkRLBcGPvKmBeoKgC8JRgh4hSI
0NQKOH3cCcvEivxGdHui4yQMnWhva0G2RY8wCO/pk8eyiJoBjZqUCXn/utgZbb1LFAt6KNtrkrSw
PzJF45NmtCuo8yA3jcj2XQ657cJctPkD3YRgCF2vlP2jNiZHs+kOpT5By2vuexvfzyzzLbiflEhv
MHtFql36sXuMS9xFWK9uc6O7piF7MRlXmc8vMjCQ22g98vIyeaIZ5GCM6m6S8qF1uIPXXaF61KkC
RMvGUyrrta025Saf8CiJZjwHjX5NmbGsx0Fb21BWRQf1Z5LdV8MMXuNQu6F+5UJbzG2d2CQCevke
BAw3unR+ySKO9kbtOMD/8leZ26hq2FpIzHLyiIzjqFTLuJx3DfVAHO7gRZmcx6wCa9niYYhKii0W
V8M/V0qmfws1479t4fftWxHL7K37E5Pi8pU/beOLGcHCY/Cj3/CnKyVFR7YwQG4sbLFfrpRsrSam
Qe56gmkqf/VjH2eQqkPVcA1qKVxbwPz4G6ZxUGZ/3McpLMMWgSeB6kaVW+yv+7jiKHrajFl506HI
zedEVGZywRuZiHXb5tktlKq+XeWZeTERM5jSfzZCrnyNyB96jXtIruWnWjSfGCQdMlncxXnstwpY
YT0Jzo5pnilhT1eFTR+vjuGqkekpUofnOSk+vmXcyl5QgoIUfzXDeaPl3GoixJIuiNgDcSUg1Cbn
lonoCM2EC0xfaO9CYVZCjU22GcLe0fZ0DjXxQaRWGyLBKpgjVe6DzBsrnRabQAFCAhy22tuxnW9r
2z1YGZaIBz1oSVkEUBk73/3m1GkW006y2He6b06e/rurB3+P/c3pk31z/VACxm1HOk2yS1G053Xd
gGNbY4LjDJEN43sH3M0bsuLZrswOHtdCiXabbRVbb+yVHE6GmoZfJxugB5RnLPL1SkjEnSqK1/WM
JTJCXyuD/lGowZMCI7G1lbueHHjRD3tjKvxeaU/jYN64vcXFs7IWzyCgjfgNVelIe5GC0aE7dza+
P1updk7EGaFxtbu+U/Y0SK2ZPF6csPoqdDI7yrCD9HgANbILg/oEK+mSi/HSlc07DMc7N8p2IrEe
QUP4kWnvAi28saJeArCt7rNqJnsX+1mlbgdT3jUtsfZx2INoe85ty1NddlZHHjKKOdCMdEFf49dC
AzSe4eUcujWkB0a480or5TmI5a1Lm10j4XR2jl+hIRV2dJnL/IYWLc81kdUYwctRPM/cJnuReOjR
F15L0AigH6LoAmL9InX2XCp9u7Y9JGayZTj6KkyaDOL2TIToPSwdvJK89KENWqaBH5lrW0wRJ62X
0M9d9dIJunrq5NJY4lqDUEU4fjQjfZ8lyyvclbjM873UKOwgRuQG9YfLCKMvsmfYMo+lGt21kbIJ
KvOkG85GdDmQjx4uxoQF1hjfe36IFQ0LflpomA5R9W1cn1F7Cm2NhPp4JEy0B5OFQj81H40t7np3
vGum1PWCsDevTEK3sTVEFyswAMsJPK2Zmuxpv4UHFYtS16im4Pkyx/pGtczToPGW6uhHyXqprGpr
wCUv3S9TOF7UMfeNXD/ZcXgd69byxwrkVZbZvl7Xr20y8fbTLSTGYEvQdtooevAK4uM8uCO48Lx7
gJu31hWdPdFo5VqU9NZoKWkzPUc7VCJuuVWvFGsRaefAMO6MJm5WjNLZvkde8T6hS6dSttKg4Ipo
PwablAO8tJNNPWrnNum2aUAezC2xvcLC4t3Bq7WcC9xO3tYM+leFIY9Cx/IcTZIhdnxjBOlJrxWg
9thegAxXApvvUOefQePyYswKU105+Ekw8WS11tXMnH1Jx4bflAlKRspRIJiB58H0X5VUCqxEZCKO
xNUpj0Hwpq2yykX50tLVB2c+hy+bz5dO089jGn+x9BojqiN2QVXgo1lGXtib7qxCPLWudVBMDm9K
l20oQIGnHg9n04Uz2husALmSVSu3KmhIrAPSznFVb5JuOpW1NniWHt9QRfTYW7Bnofo9hJbJ+x2z
UkEFeu+kNzB0NZyv8AH1Jnl0+7xYMXEDpGgqw2kuSalEppWu/tn7v+39OqLmX1/fv7ciF/GfjpP5
yp/2foo8TbZr4fJtXW73P+39FigVYl+/M0d/jJOt34DOCZoIly7lbzzAH1u/9RuwL6B/jDA5oHBi
+Ftbv/2ffZLCBJbK2Q87hjDdPxQ7yo7oKIVTChxubkpZue8XAEuRWQV+krbcpPa0U6SB4hLlV4bI
7qqPG8z+NZVBU1v6WdKSuNf46CYdLm4Mh0RDp8Cva2fwYynfh3x8oiPqtVLr89Tpe6o2nRO+wWZt
lOh+FfZHtkVOEAy32uxuFAlIwVr/bGE7620LK4SuXl0V087gBCa3s+ZZHe2vWO/HTTJU97lIHm0t
19YzfUxep9jzOnfrF6OrOp/kGzMHZcB9WJGALZVNUacdkfqGlCdNaAbQHE92+SGCBAQnJ0Bpm0HJ
K34wGq9V1ivTNRl6p99kozbgOiply0CxTtSKYD58Lt8lIFuWgwsnsFly9FO+FkwfV/Wkr3tQ/V6q
JLddMrFY4W7JSwd4qpp8aW37I8AjgZ7kILW2F9qehSQzGkxArwcX8VOZynt71GA/5eI1yYDJjG4j
8NNjv4OjT6xJykOtFu+1ANHDvAAoz9qceibqVm6wZaUh95nIhmI1pQ9q1H/3wMsR3z7T9peCJgOc
mOVNNY/lieH9tKKRi73WvdHDal9k7KGa3OYEnzLXPjBPeaG3k10l1ad9aSVUiBnqnqBsDtNZ0gKB
G2oVWFxI1Qx2Mj/PM4JZfOhjG8s4T5/naIECtl/PbwJHfcigyG9y1FSsZPbRANHMtX6o46dUKiJD
ecaWsNYG8iliuqoSCJZqSfhLWckos1Lvw366QtZG+mv0GzIvNA+KHRP8q5nY+yCbt2nf4e6egci1
IRez/GZ04QuMYmE+9Csj55UfKi9KTNoX8+TZtMsHhkzbgcl0rhCIdhu5G7vwoSrmUzPE903evcCR
3mmI9F6SRdXKoqx6cbxtOYeaG3RjgXV2OlnQZo685PjJu+QjGSnWaPjZlCk011i5zB2BA2+c7a0+
m6+ioUuvUPG3dtl5DoO7HFLjfjJbWL+KcR93w3uhSLBmD02HsdCt3WsYJezdvVdU86GxtCfVTdjK
ymQr44YQR8JYS9fPsUxf8y4E4GNbm6qdmIhT6kEXTbzSFNLuHGne3IBTmJoP/mzNF4YnN1hbnwWz
6FIqfqktgXMTt6Vq+WqQ3M9hdDNoxnPdDGTataesVrW1KqZNjc+JFKVyCVR3m3AY62Dqcn4t3ns8
nWt9CE5uOA2e3gNjyvhnuPno/GjB7+d7J+xODCyO/Mt5PUK/O9il2XogRTKx4UyK8WiGj3UXMe8U
ID/DT8nSJwHlCGqPClZK7tK4/yTdYTO4/Xpy+BF057XFYJR3oCYYNvi6xgm81eleqV4m245ArqMg
DYZ1ckR352h15mvjQClHo7/EXbNHfqXzoA8ADBpXPQn3BHevonDj1TT3Z7OHoU/yCONg4+xdqkei
1AZnkT4nIj2Fqny0i0r1QIxwBARgV1EpU1AMrHbPaW7cNzGvRV71n42cj5ranEEIoOXl3T6coP0n
cb/LRH3EJXnHm+RQdqhRUdPe0I+16Skz4F3Vv+Si9ufIyDa9VHG6DEcE+aOiq4u1QuF6YOzUho6O
pt7n87AbetMna3Ma3XbbZvO17dMW2b4+A8I6jhVvWYeDZi6zR5K6r+nAAao2921jfEion1Fp7TU9
euplfG868gG+QuaZFikKk3lN72CPoJA0xwAwQ7IPRHOa2uJQ0MaOZDCApUuPYLZex0y/dzN8kCQs
GdnW6iqx1K3RxxvaP2/MvDzGtvP1n7PJt7PJokr/9dnE/8j+dSmb9s+YHXzh70cToOcaizbC0nfw
8E9HE+M3TEKEI5kwfKdv/FC6DUxhqoo5yoI7TJ2Wjj7977OJQfTCYWaBrcPSTZvZ3N85m6Bg/KJz
A8AjvOkalgNwmGMSB6efxYU2oGskmwtxW5TjTk3jkx0iO/bTd/XpLxuT4Y3+8kD8JiBJFkEEUxrV
1hQe/PpAlN6mphOlw63J4XiPU9Yx1ubcHXLGGITP2EaVAWmT09CNO3WnOq0ebUHHbsUUeDVQHbtO
Gy099o3p+kB/6X+eSEfT9YBbZ2heBllVq9yJwO3qVbCKZHZf8YAr1oXbUsW2qXF59pyaT7RDVeJK
t6mSyGfnWOeAuxOVkS2thIumvaPJpSDN3W/wKLRk7l3Nl+m49BA9K459do0ODU/TX1gYyhXhyHvC
WXdKPlI/Zl7aWO25QWHXojJ9T4niZQjykMOS9hiEDtt2SJOHiGJwwn17pYtxMxjds+s0HyK0X8N8
+tQsEcWUiYJPt/Gt2QRHiyT0hiHWznKDZiujRRhumsfSCnexY1AcE0VHWPvvIN/TTZ+roNF7WB9Z
OVY+zV2kEwiJbbR2ftVyblGzkdwYTrOh84aWVYLvtZW+drb22MjwXI64ikpturPrbmviISeVqOCj
pSB3MABBhnRcryJh3isTfNC8rR0k21e3JR2ojz5RDpAEnQHdED3EIdfO65dQ1dV9dRiacLgwz0rf
mXtUIoJbJekMe7oIJhbjJA24U1q8SbXsllLMZMMuvp1z40zLCR1XmrF1e57baCBKrlio8VXtvha0
SjKBvSN0QUpklk+xhQIQUpDIeS+7l0O310yIUI2uflYztqNwmJ4ymI7bUZ9vxMgIX0ZJT5dj8wXB
/4tgP1ylQG7LzN2j8WmrdBi2eWpec9quibNbJ1ufgYZmxec5qV4iW0arnCIjqwc/aNR2uhs6fWvT
0yP0YAMiiqpG3mLICgZAfm2M6rciKel1mR2FXde0RkhVKhdabITUP8mdAc/SJ+ux0ZyBG37djIcs
M5lpTwQeFqeWoX8ZwITGprbpZyKa3pRW/VNq6pBlwgHIpGfGgGq6ERdCmoi9TsZQ61NsHARQnfot
sOI7LVU+HGpscEvIa8m78WES/cMYyhYNg3aRIdX2ELFykCn9yQFz6ytS8n1xh/Wyjxei9/DJSujs
GsMKY4carCRUCnQf2FwSYBZgmlZCCm5fqP5mhOgmqz5RqZAtz6nFR1Yv0lvEvGOmKPs5i2gsCaNo
PY9Tvkl6LvcDu1cyMCUYO+0uaq3tCEExncNhNTKgLKzqZWjWCI17QKC01iq7ybLfgIu9AidIV3ZG
9dCUvWbGfT/I3dR1h4pLR6ZwpKSkRWwIg0augeuOivJBN3a9wFCoRbQxzVW/1e2k5aCZ8nz2xmsB
3asdy8EPlAbS7VBtO624mcrhE2MMymcn46ltVedcKZRjP1Dpvgodowl2+Em17H9bRn/VgpdVlO3C
sFTWIZxJoL5+XUWlpDgrmKzpdsBC4Bnb4DDel+c9p1HlrXiu1ukeYc8LjpgvOz/Z6vufNjhOMFNY
Fj97dRep+fv/XZTzfz889GvdFAv5ZEkE/rxb4BAxe8Xq5tveZr66d1VuXOOrUube338cvMbfbMz4
vdQ/3Jfdlj0rHvv5VotP0Si9LPtwwz2Q9v/lcX7d/b7/Pjyf7IHQAPHY/2EkX5N+NjstUm8t89hY
NxU22sh4/u+/i/Fnr9nPv8wfHqSLVFUKeEi3/UY+oV6u+536xcFu6WHT4T3m3TVrhsMbsXu8OH7m
XfpzvHmS62B9TQ6Dt2v85tT6/EO/3PDf+um//3zi1+HE9ydh6RvAOgfiHFr5ry9q1gGiKSZVuyVC
cAmu6lo9a8/hgWp6csL+5B0+adtxdak3w86kbuoIPPhKw9Jm8LJ/hlz/dpvwxvvrgyTB/bZ5+xe9
I+0b58Y/OlX42t/PknCRdAOYg6tpmi6cn8dcSy0s0cd/e06WGMGPMZdDIEAXeOuBs5Hi/dk1SYyA
mCT7uPXdxuL+nbMkg7Nf1ofFNenSBeTyPcno07Lxh0Oem9uUTfVmf0N3naAfoqlL9cBUx+CiUgJS
SKz8cUpCXB2jcnIK3NqJyYhgIKQSwXz0tDZhF2qPqTPe9+p4mgJcHVVkuV43ONx84vngxu3TkE8X
O9f3ZkxhHzQxr16QZSOhsYqh7QhHLp6xu+fsWUOAJB3Y0KvhdHzVGZZg+4UtrMbptKI9WaybVMHE
5cCsThJqAjP4l66MPk0Wgq/MjGnttlPuq031YFhI9kanCIAVnCCrWYVr25IbqmmILILnjJNiKyws
KFL6oHffLYp5kqDOfS4In5GZmbVZ8YtFOTmJKfoBR4emcnK6SilerNDYOjb6DLObTeTQIKTLfCeo
GvXJiqHEEI+cjL6huX58n8rgPW9HQhmct0BpfIpVrs25kW7TdNw7UchxbyQR2/R0pSE/fQlVAoaj
VrxUJSN2Qgu6T+z4w1pcqDKd3uLKDI6diYevQeVgN8a0urhXhbQb3yiDaEUxo81kDpfrMKRHzax7
MvfATzzUq3azbHuzYcfQAuySmTuddZThQOSG3OSFLr62bnG4TYvXLV1cb87ifwsWJxy9dK6HWAlL
KS5BWahxsC5UGR/BTmQUOYLLIkE3P+E4ivxSpRk+lZl6xo8BQHBBbZUN3gBIntYLp9T8TjZafRst
hCBHa8ZTvVCD+oUfRHN7Qy7NMJJT8A0wpIAa6po5E1yp1eB9dGIFJpOp1PtCqFcsg9o6iobqUZ14
4reBI6xXBVnqq+GAq8i52HkAPpcCRWc1MSrwJHkSSF+wjWUTHzXaRtpp5lkf1jUtJJI2ElVSS6LU
3aVZikqCpbLEVilO7JYaE3spNDFoNjFaKk5qAgqJvZSeMMcJAmgP6VKIUizVKNZSkjIbKSWVGsUp
9lKhUn5rUyEYYn+vV6FopVwqV9KlfMXNHWfP1JDAwFLNojiUtNA/+nVcaltyHI/jUuTybQ37x3C4
YAv+ejG/i+EpyfjLx3+u5MsX/ljJNeM3Q2eG8y3y5dis8T/0Cs3+jQ+/cGAeL0rGMoP4sZAbv6ks
sJgctMWUoJus8T8EC/23xb/oACNmQMc84W/xE1we/qdzHluEbli48ylws6zFa4/S8vM5LxLLIt7p
4tyUNfyzk8IHFfara6gyx+dmJOkNAGI99YntM03Di4WhYJpAyXMpN28caI03XVkruBJHZW+ahX7u
aL/wByGLI2mS/H7Si+GmG43qtIg/nylnGw4iH9J7QxuaI9Yct1i1I/N7ERu70nCCjZY0xG/tui1f
OVGpLqARN/UbpsuGm21ToTFgJYb/3veW9lXR45nFy4q7lQv818M2xd3bcb25snBRiQTCiZrQoxzZ
6W2ed8GDSNzojm7rLLpXE9Z38Je2Vs+UkUXcaqAeONxvGSKEggfssMQLr9cMDdPdNDjl9EZ8j6Bz
w60Nl1ojDD+YrV69WFaV4FeI6+RRSWZiAHWf2vZqXBYjJrM69xyzn+rXtEO1Mfq8Xc9cAXx7biH4
TQenrWqfQgbKNvvGNY8I2s1bQH0CxNAIexsWVRl6So07gSLFQtepXZLJfopYVCkNMu7od+ntnehN
1go7+dwyUj9UVqBTB5vU7d6pl2K5OaFjbgLPjqQQ8cYczrmLbqps/1kRvs8JOVL/9Yqwzv7llw02
5P9cEZaLze8rAthyzEbLZ4/ByK9nO3qEOKGDxBTUMTBH/J8lwQW2Qm70B+p8IaP9WBIcyhaFwfEO
Yyl4LhaSv2FfYjX5w5pgOnwfLp4qEubShfaHa0IdBqOp4Nu4UdG0hsWHSELFV5hsenYim1tlXtyK
zEJeTKPCdWFmIEFsBQpJDsRAKn0By3FC1p+5goOheAamZPtN4nAO0wR5b6MFihFja2Dm1QCH7Eoy
l26/qhd/ZYLRslsclxyaIs559qOLGZOhQbGxliYUG6MmV51w12DdJPLwHAxUoPZJdd+UEQZYJXZ3
mhp+LjB+jrp6VPLugn2ErXfxhqpNwgfARHerMI5mQ7ydFicpEXUkpuxTQNimtSp5jDCdqlAJNiGx
xlU34EO0RvPd4gy5axe3ajOaExny8cMqrQ+itYkvF2+rxOTqjvpLIcriUHWYuUCbvok+ukaLM5Yf
kzZIEBcoXY7eL3YOqyyfxmTCMq1qOK0g5prgcVE7NmGZXfMAZhSryYeV0a66oHTLrNoawHXtZgAW
kYY7DoQk/yinXdNbOPtJrFjrThlvaG6hoQdgbwy4t18IvobQSkowIGMW1WAxIUm3Ge4n3Wpf84UA
XOsEQDtO2PNCB3bUCeJ5Mji3o+RUU7XjDI6GiYd7ipTq69xFJvpqn5CI7IxVCdjBI5I/bvMY0l0d
J+6+qqfoqqfikTAHrtWpVneCwqaZVqVPs2p7FT0lbvfQWVl4aduCiI2aN+6ago8dZPn1gOKjQfhi
huTg+QD1htQYPy0IOC+IOsfTF9SpHiJAVVY1EtppmY4o5W2Y0CBhSWgGlvpgK9wshgSvd8fcO7MO
RlfwFHPShy7yXJnxF1vPT8RJkHdppGGpbnMcXt2bkUtAX4b+Cf30lekp+OjQ3k6uUXJRSXZCBSBn
l1S0sCUqQofYMRM4oWxyJDldZOnJCuyz1ikMoymyz+fiq7qIrX3nWJ6Fsryq0hBwjpJ81izlxaQN
i4b7uwzP0tQrD3AFX1umIcyA6aPulGM9NhdVDx7HIjlOA5SiOhBPYU7he9QED8FoH7EWYcQWobHR
K8aSqeNeCmF8Cuzh0VK12cvCLMF+zMTUjtV3abh3Q5Ncwop0UIAHy7H7RY+809mxCYLG10Zqe1oW
VxgdDyEe+c4ajpVivodT+7RMo8PCvPSGeUNP/U5vcq9SMTWncnoxO4p7kpCscxq79K/CofXCWuG6
NZUjyIee61HcvDQyP+huf0512kHV+akrIipNlEBf1fqwrxozXvGGVT226jsZ6++Vnru0GGeIxJZD
X1airzOU0XXQEkHiEppvSnfeUe8Te0mVJ3t6wlejxEUt4JUsKy6rFAJtavS3Jfu6J+hE3HTo3qHK
Bqup9U7lKWBNuuqTdU469zOmEd5btvUoLOOsG/Qm6R0AKXphuaAsS1wD+oYyl3vhFpvMxpkkKqin
kpYH8MXZLu/1lZa1kBDz1iISNT53c3ivqca7nWe0gwnnTDljQE8WjQnIM3ekHqlZCVNtNQn7XcR2
utZAXNFxVq0nXZkpRyFazkq6oejla9POwX1Sz6jFjfZQxH3hdZodf64i5WKVfU8XE2tEHD8PxMwa
4mY5sTPsCcO6BQ7pRZW6Sr+F02K5BNWQRfLn/Ft8bRYhPBarx1SomUfTaR7cxRbdLAbpeS5f8aS5
QBl7nQrK+SXAS+fZ+KqtVqlXc9fcGnF2iXBe6ziwR5zY2mLJ1ovmkM0CRpGRrbvWvOLAPneuwh15
MXQnOLsdHN4q9jivWUzf5oDJDjDgg44fHEvnIcMfnixG8ZTAKT/N/OIuHvJ6esrN4VoNyS3vB54E
3OY5rvPZ5E7ahoCKeojJ8EE75tPtfYFXXaM0TsW7bqjjYyEYHOBpt/C2Vy5F9A5/GBfbu51ZTN0X
KzzWV0F9Bvb4QsUqxxrr4ybb/X/2zqO7cWPdor8IXkiFMGVOoqgcJlhqBeQcCsCvf7var+22r6/v
8twz27JIkQRRXzhnH8KLdo2S0rto6sPEgcKuZPYkmsEf/C69r5L9rMT4Wkp07nd5vhLqF0qyT15E
vPKVjL9Ugv5UbxDVKZF/OLIFUrL/f6uy71WZzc70v1dld/Fn07z9Z0mmfutHSWZiDNMNhqJKuYVL
mf7tR5dmGr+A3YBvZ6mkA4ZdP5dkzBoAZVqokFWT9vvq1iJ+xldUOhd8g8m5+s/GbepP+0ObxsgF
cxqPhdmM+d73UMifQBa4VfII54d+zcI4Rl4NmNQxXsvwg+5oFtCDGqc4xR4XeCx98yQr/ntjutcO
C4y+rjaOF95mff9KDuBSn7RxyxTmuWjElp7vluP1qvLrDvvRi+HY0KVHmhM3PXYC20/YCm6VYf9A
yvw9oS6Iwnw9W9a10cGCrF7oUVaOMI9iov0xYBbBIDeS+dmEOrrMx44gxGLtcyYu0znetUBGKDzm
Z87SHVvMeGmnnSJQvCB0eZi98uQnqM0cRlOpML80WaCP6R9TVFs0Y2JDvMBmdudL7INo4JVtKx9N
KTyvFUpkakZi6iGoSgpDbhLaRCBBYW/dWts0LdjwKfcea4mpRQl49nOPt0wG9jHhYF4mUts5EnuV
EbPT6bVpW9rj3jQYWlbOraz626nLm4dMTG9ZVaWolTgVI/1JzwWlUklwtj5ehWklFjJ0tbVIil3H
4c4aqz/adruH/874MhCHyfjADPQaBv3D5AmJwYY9JymUr6ne4hauLYB79qflwnfwhfHgzHSlUrcR
xcJJ6FoAPpMcnLU+TjCl4MB6cl0N8alvec/CMLMRqHEnanAsdUNz7sbOiNYBAUHbjnXheOzKeFrM
dqV3+9LzQkTb/gSUs0tw1ZV6Q2pgbAfDmv1T579lQ43wvBNmR0IYwubFaMnJVmLdZgW2NgKFBmWi
sn3EQXUNsd56L6IGQmlgmyuLMnVhmiX/JPWVnNt32OH20k/rL084CiRMNg5okIVrEFocivTWnavp
6FruWYtMb4kJh8fQSTrUoudstF8Kb5Ts4Ye7qk+JMNbQVSOs+Uiq9ovAus+5a9D9utlj6NhcCoi2
mLghT2vNY1NoMclBnbW2xXAZTStcQebb2VHz4qWi26ANy9Yi8F64L2OAsx22+q78AOKhxJuSQyAn
tRLzirfUGQxeZaF2Dl8yuFRheCjG5MMeGQTnXC8F0up0PjoFiP6yuhkskF5ROj5Udoxhogy3GRAs
lCBAHXXnKVBx8IL/4hnyKZzrmzjIlpOttSfZvhSCbXAwYT/AMjbHKx5qBGsFmBbSCiQ6AiG1qF1m
zYiISfKJJ1F9izk/3KfoBGanOM9NBbWxAtRGDnnGTFnf1FPavP97rvx6rrD1+Jtz5a3o2OWQRP8X
Zwu/+dvZwirHMwzBNI/m/XuOxW9nC2HkBPkSYqEmetiWfj9bXFKDcd+AOGdPxzzgp3bf+YX+Frwq
PmHdZp35j9p9goP+fLYwNLDUF47DBZqjpX7+09niBxr6Ekr062IEeGZMDtsEEyRCNhZPMeOwtZnA
rmlNxChZ6kJKE92+FsbXUOpwlPJcHqQCP+bkDqw6vd+FMI0F7wesBzx7ZdGjbSVMMXGTbzJAxWCQ
RAN6CO1L1g0F8H/hIU6Z/AtK+wfRoAatpaqh0vk0pdNDGHYlsv6nILHu8zwurrE0IkNUCtheaWF1
5A+HHHlsYIfpOvX9Gy/tRuQE5ifC5H4Tmpq8L2p/B5brmFTjtNFHrL3teIsJ4Hosq2xP4ON5UJhV
u94KvUXBIMZT7jZ3UUuf3kzlVSvcGUWMtU11P1oGYfs+gZWAIRAOa3eeYM/FVPFxfQdPAECnLZig
ksLcNPEe2N6rYUDKlqM8A21GBDqH+2BET9OP+S4qY2M1pn20yhpF2phvg9CYdgxgeGv6eDhmMVrd
XIRnv4oPvpcqzW62njvtI0kyfxHXtbsIIZLLWcYQqN2GcWnKKRbRePaztekz7wJcPUMmoyAexMEh
3bxNOPfL9sP0yi8ivtb9xFsW1xxrkdG+RWiRQWaoht7tkMJa5sKqqEuJAlmU2QDNI7PjpTO1CoF/
ywigvNS5QeZzMq712qjWMXkPK8Zc5pYZ5709f4fY++ixxENVTP6hHrB5uaBEnDo464pk5AXpJoiz
Y1t2FxmAbcpIBpJAPUeGKoaIn3AD2dsCFNcyaPOIsrnezLF7NdXTs1nmG7sYXm0CWPa5NdxiyaEG
meUnzzyuRyvDZVwb17BOrEVtTJdk9CCPpNGV32vBabCab0YTEI7aGOY+VsSviCjode32vlhPBW2J
Pm+EIoQ1yVCdw0FzD1UIPwzrLmeu+x0rZlUMwYXjfQBXkodBWAsvcDcNWpkOedAkLNgnQfPiIw5a
YjcDAFbxFC3tZZ/uGjm1y17wFnskGmh5ND9YVWkwsMEoRTN/59XOsTOmzyyq05WRitssiMKjMw8E
lQ5nM5Irw09oIRx8ekUbfSRz5e+70v0YXaiXlodsWwx+yxapvenqkre4uQIf6a2YIlWH0m3ApOBw
q1N7DUnU5gr30PUj1YK2Cg2/kOG0SYzgK6uCS9ZMPQanTr8eor5cOj1HPZzGY20W+nrWnZo4VbIT
gDa6QXGQiQl1MjBfkoqILMfpOmDJmn4FdVJ86nqQ3pc6VnMyHWCXG1kky3+7nl+lBvbfbqfw06jT
KXv7y9bnp/0U/Y0JlhADDL4o93t/89PxxOafFRMng020x0+tj/sLRhrHojOyXYMVA+PtH9Nojie6
ITolQBoQi8x/tKDiPPvP4wkbDCJRS3AS2n8WQrlGaGRZI4j5Qp62ICWdgZKcJrTtpBKbI/B6yb0j
w0WB0pCVjV9ELzkOCwI4Nx4CbSJ7z25f7xOhEUwJLdXOp2WWuOUpU3YNyGePE/4Nz6/QMSqEAnK9
9TCl904D9hqCE2wDZf0oE/dmDC2cDA16QH2d4U0vVxTwOmI//TzDQEMUzvo4CiLCfgRziELvWKcb
/npO8PgYIXU2BfccYOH3dVHuGKjlK0rl8zhVGN8mBjmO34pVpNLmhkF/GOixyJxaS7PDf4+MT2Gl
Gsbm4t3hdRIpyuOy984ZYzFq1keEhKjw3n3AUespKBmFcCwr0/0eJFywJ6aB4HYIESUajC3VenYU
yssWKFdboPxtdpM8kMyHRld53yAMXoNeIgN5YjQxo4B3+vsmrklxxzjnuOF1pZx06DdP9hjXG0J9
ezxI+O0K5byTyoPnK5BTWvdXVQVNJAWxsIEosmW8dxBY+HKsfH5CBxvIROAWMnau8vtNGP8Gw7oK
i/k8K0dgr7yBfdI8Z5gFg75kvYB9EO80shHlKAzTnmgIPIbQH1JSBVAUVsqBmJmA2bEkpsqbaElc
iiZZdbXyLUqtfK+Vk9HU27OJtdHG4khRc6LMuDay/mgpDyT8lWM9cM0Eyh4ZM+KhvkChOSAIsDFR
tlT8TMC3NY0bi/1005G0CvoV5yVhJ6sUK2aTaJdUeTNnUBN8evg1GQLfmo555cMrXzfTMOKgwd1p
fvd5KsdnpryfCdxx3M/Bug3b+1H5Q4ekuArt4HWqcY5m4HbDFi+p6PRHG3NpYtXuyshoq5Tv1MOA
ik70ZGBInTGm1hhUG+VUzZVnNWidfVjHoB6ws3Z9ex2Xba3dlKWbzZ/TmKU7FyGKn1aP2EVrKBbD
sY1n+6roVb5X57+UKYYM0XDgoYNBaFPNITRyjK0tiRodHbduHsssOsdleRiT9lyU2WUgLmLFqQd/
Kujl3gnE1+xoQFoSxJnbuA9chBHFMN+ZznwV1oAnST2RG7BPI1QMh+clqDTDbqZwlRPcSgm/shEv
rcJZ5r3/UABSzOBcNibDtLwTewkBEwj+pZ8xkA4x7bbob7jZLRqYmabJKkGLQ64+eJpW253ACjA4
8LpjCXGTAlzx3e7mCu0uVBbyaBWe02w6vihk2G790EBOqjCeFjzPTIE9a+g2NL3APsvvquueK6eo
WEEUCgqaQwf1oIS6dvFVQg0FdZIuCTN5nIvwJIwUGaxCjAp0O6yqqEmo1755qkohV+sqVnXLpOuX
XFUyvappJMWNpaocnXKnV3UPiZi3NOnV3qIkMiiNalt/niiVPEomX9VOuaqiPFVP4cd6KlSFBe5t
U3nTdqD00qvm4lOK6ZjSAOYM2AeDc6KqNWgsOzIyCQGnkPP6AB02lZ3l2/eGqvUiVfUBZoGxoyrB
WjOvYJaUF5ciEV7oblRVY6HqRxcljqkqyljVloIik9dKbEHaMh6I67dIVaKdqkkdilMWVl+h/x5T
sraUrqmqYU2+gqaqaokquuQdQl9V7waq8q1UDTyoaphh6pb5hMvglkp5omSOeThP1dBChIeMojrC
Y7RwVJ1tq4qbD5Ta2xxvxwIPU86Yn9IaPJpHnu/3it1riO4pR4DSq9SzjpHPfqSnwsdRR1hbTg+h
iv/QHjdaVN+ZdAWOag/CyOnXo2oZIKm8p9gCcGRb20a1FUNdXzFka7hqqruezgPtRQLNjDAKehKR
VmepmpSKbiXsxlsd2jY7kmkj6GdK+hrNoMGJ5qnfSHqe1Aew1rruTR5Ba5qVd/Dfbv/X3T4t9n/v
9jcNCQN/tdjnt350+gYhuw4lEaYdy7V0m6Lot1JK/8U3PLgk+m8U5x9aH5fxAJNdjCTK4/N95/+j
lBK/oAqiKoOQiauGiuufLPbd71kov4u6mRko9SfmaSYHAvnvd27JT51+mmeGT8akew7G9hB29VBc
ddKcnCV4uqoqmW/185YEg3aZR3mIz9iPSM8t/UJR1pPoZbTauzyqp1XUFkBVOw49Ga4Q62Nf0AuT
7iJjWOcn3yDBxKx7RLyeNEymxSzOuLBJeci0l1Lmt0WO3bkvjfSmc6voLk3jnc+QrXADOPvsg0Lg
mWcCSzzgu0O9bnItfJmAqF+CIIqdS5RN7kUUHo4MW4Jy4guc4Z0WQa4X946rWZuAbZdct6MRdNe1
1kbxY886d4CoJZ9S048sjD7lDpRAMrHIba5kYh9kL25FaJM64RaP+pzd9zbpC2VUvZsqu82JepSY
c7xsuoStmPUtKpJ50Wg26H+TOLbxsYeZvLSQFWiDttJyFkmhiiyzq8pYeRMUr7Zw7TWpIyqbwcNM
khIiJe6wZgKpr8Rq0uIP03fv8Vl+6nYSr9ucN0V43Y1rAbQPQYTuJI/PNL5KXycrZNsq451Owib+
8AjHYebd15lhbsoipfq0OkzOibmLyB8uhqFZ5TLeW5GVLAQ3h0XRcPNp9RSSBCRH1k/TwarMmwC2
xpKFAwpE29yVKW4U00vl0p9Gc48fGidRr3/oBFp4fZsvtUAEWKFxNhf+WxiVRwA7x9bym2XsEXtu
zf4dSHtG2VG7GQPtQ/jzJtPHPSHH57BxoGoEzapqSCHPC6WnDKovwkk5bmMJ5VHL32XkUwxPxTOX
dLcwfUROjhKQcHnd2Ab1VOeV5w6TOeoDmlMfrxX37AUZHbdBpSFsZy9LZdwQLSGGdsn1BnKlfO4T
kxSRsDt0fIJd22+A/BPnIGigHb0u19TL+3yYrsdaPBltd/a7+D7pwO5ALH7Mw+g2Ij1mVen91ggd
DTgLI7Aham4nN7jXpX4z1z1fEQPtK1GpuJ/jmOq/CS59MO+mLNDQBGvvTa2h97KrdDsJVp2z4WdL
2VN2haJFI0wQrGFP86Gs3OtkKqdNSbuxrPrCWuYDKOnalieRGh9ZFpOq6pFq3cZXTlIhHdbd41T2
xlb3s4w4mpoIZnggAJzfGr2Sm8nvrv3Gfh60SF/yVR9gn+ZQMHrrK59wnqZVedvP1bLr3d3MO7Nw
3ZFo2YKUkS7FWy/nYqfZXJ2BEga0WfyZTebMitV9FlLcmRid9kPJdidrzD1iI2uFrO4UDRqZb+C2
6EFseyPr5DoOnZWjpbd5NpxhIKEjjFyWMgnJSLl/4YSvN06GKkVWEvtawzi/Lpx7aSDE1hv9KzDt
V93K3plq7pkasi0OO1Qpmvlpt9ojqG5/mef5Yy47c236/d00dQacl/ylnOyj0MqJ3ZY3Ra0NVnd0
8CZ7lQtmQUdjF9XfIGGvSlMgClRAwF7UV46mVmMpGp1h/tZY5ktNL7zz9YKVku9e5n5gEdVFROs1
LDgcGyWFH03vMMVaiErEARddtvQqPdtNejlRwuH0ziPrtXLsO4Dz3lJGHiS5PpCrpmeemlRVAWJO
Pw+k/a2xfn0O88QiQqBPSMxhRb3m7tK0ACPBBgOCS01EFCxXzNjyHf9dvjSATez0QIpzPArmrm09
MoeDxWOZ9a0sWINPHhmPBqOkNC5GPqcYip41rWKavtWURNVV7sr9lBP4WozjKoc0swbBEbIK4mqt
muTdcQu0PEEyr0URbELbmnZOgVW6rOxNSiDkKnKdbON5yIe4H87bIqlfG09sikbbhjLYlgg/bijf
SMcp4Z9PLcJKfIb+ZtQQdCKVCW6AvZDgUhv7OrROyOtJscwTb4vaCtIjQ20ieqfpEPX9B/E2RCRV
nXUwIVUtBVOndTqGxS4qYL7PMuezkZO2EeR1LjQkIosQnPlCdANs3ACLnuHNKNqHY5j5h8Cfj1o8
5yv4v80mSOebJg/Yebl3HhiA09yiF4LUriye06Xqo/vCxJ2YgtbdIN9k/hppDZTa7t2pMT/kju1t
Rw+X62TgTgDsxzA8iy5djCk3mPVVWsbDtqrmo9UFJ9CQq5RYrAHF/NpKan1lonRbxG5z9kXy7hFo
mrUBsjbXV6HAmoCrKeDwedMaDTnetJkUJV2Xj0afvpWpxtwuvkvhQC51U3fWzPSdRWNXn9nsfoW5
Tm9v2e2qiW0eMjaLlcz0lyqmmRn6+Bz4PWGbhj6sZN0EyzJIj4WXE7M2JuFjHWXgHIMXgqJpjvjq
uln+1eTdi7AYiUbdufpumezy9wA829rw8S/6efbYlx6G4BhDpKlpN7POAEbLCKTBoQAEJD1muCuW
Nmcq8W3cwAzjc/TandsHJw9+9VaPp0MWKD5xqi0SUTzlU3Mmo4wQpynPmdWypwyaQ90aRwGJX6u8
LzkiQnLQ4RW1tgva5BOH8Kbty27butW6rfgpKSuPeqKf5vCYJyheendftaliyn+LgKpBXtIXSePu
+5gUTdF5NP9Oc5hbif4n5ePJaUNYSB7HmeuZuSfiKpNtLrOWBV7puzgJ+Z+5gQ+5cYob4tdscudJ
dfXiLZXbKxXYPh7LTU2lw8TeOcyC1XIPy5l98yLw5ZNh8eAA4NhcJ8cU7ePWyjsAcjA+mbcyEgJk
6uZkYRaPhsWB5xchG0aIMpNnnbGfPjQSen7V6rQgVX2pYv80of8ieY3loUbcgZtAZ57tfNuXI+om
U0kNJJseq/IW2C7CTRzw1UFBzM2iQdg21Lw0rxjWEXUnuUExhhK6usJu9q4VHeSUfEVM8Deh9K4n
I9mW87ZFz2162wbsmjGePC29j7KBmZNt50u88lt4/gBY4X+U1vzN8uTGkeE3z4lPttnDugr0iA+r
foMROixGk8ERB/HQHPn63IcT4kxUQI9GRYYD+ByvJXluZ4UQ18psP3TpKvCs6qZwGjpzOC0O4Z22
MLSnaChLHb120TYHjMGSFjuWClbDygNwzcSnU+gi1la24tqE3xE3np8eSomWbFT8G5RL29knqKAB
jaPRpq4KRcuJ7XJl52m/CobyOfCMeV14Q42KLDTWmZk8WE1xBzxj3GD5/KoB8tixKxY5hZcWxN3G
F/4+cu23qhgvY+yLReSqPU3c5UvqLiL3UhtrkCQBAcYNBOxooi7UOdhajjQ+P/XZUZv3/oQ/JzrV
jWEvMoYMY+eehy5G3++elM2LxUHyZiAGaH37REIR1U1ZfeNsgRJHJldaeA9tHNuHrtc/iTgqtnPC
bn4iT8Ee+gt5yazko3k70kosqGvkygmKj0bmMMkjbSn0ct7UrXOy6+zWTId10TE7AFMhd9x3CQLH
Sz0JDjvRtrt+4BudmDwhrNtlamct6Au83e3soOuHPmdS7fpG+prWCEii67TCfiVAGo1YxRqQnr43
nDV8OAhdu+tcJB/VBKee5n4pp/hchvpZsKjLiuFsm9cOgk9thiXfaOFh0MunVIb7LopfOrd7qPyS
xToYeq/Zjo57h3V6Sd17nmrzNa6Mnd9q3BnzcD9P7rwnSeqVP/AhUgIxl1pwHXUVBqdce7XzcnjK
5yFclHVyHImEI6sxKTEUzVdyIF+udoznagBVnqQ3UhZvaeUBj4Wel0/+SybKU2xFT7lESftvQ//r
+p59xX9v6BGRd5/NX6zu+a0fDT27ERtrh4lfVqHBTFbjvzX0xi8+dmJlffxh0PzR0KP9QsbO5Mdi
2Y+yFl/Pj4ZexVrYTACQ8v9/UPo/UOoTPv3n3QjMEGziwMZYpuI7+dPqfjALs6s1f7pGoNZudC0r
1i3ToxSoFA59ZEnJKOigBW2QCIrqSipVOwkAwku5PTQs5OJIF6exGLkdJZycPZWwjdVkibGv3ZhG
5yMkleWO1rO6MW22DfRe2hHcj9i2Sfnsz0TCaEJ/L5gysnOeb/K4BPYny4zcAfiMqLOvZ4/+rygH
/IGVSwNVSrazXsgEk2XrssjNm9TSuDXnkMtzkpf0JhI7zQWtLSzqZiPtC4iQTiGWcZXe2ob3KdP6
rkTzVOXK+qir/mvUxkOo7lNz51fXeu+8mqZ569c8SmCkV7iz5IrTY9WqyV4g/St8kgjeQe+M4XCj
p/Nj3lcPiM+OcdS+6oRDoCHmj50lQYJecrIFaRm9FFdz5X3MfpYupymFJmwOx8ktyyWpS/WSOEcs
ldzJfWIt0siCpOCVmwB5sqvVV9Swz4lKT3YVuCSO8mYtxfRtjs0zmjP+xatuCX0nDJs5vndpLQ8R
mtYTxwGfPV0GusQiQaQRbkeQXeXWdMeN7sutqXfH3vA3RjN/zp4Xr4U7HItRNEu3cTmzWzYfRd9W
zKwxQjUExe/8kM2FNO0nLApXvYYcCoP8ehhNsWqnz8B11gwju6UZhG/TVHz1bliu3FQUK9J00Yjo
XcY42bwEzeQsXAddP7udm6iZ37y6DTD3auEyyoB+NHYrgDhgfDC7xyQpb3o9x0nh0DRiLdjM9YbS
DM6khTzXcG5GGT7hAyDPM2+PYUPc5aDlw9pzuFy9lrIwTkM2YtOs71zy39dlDkukDAMy6mv/kRbk
kub0uhwzx0B6SNTIaFwhe3vTpzkk/698c0erWbajFq9ajU4c6Th6uS5N11VoszAwe1DTxlwh/w1t
BB8hwwuXa4ox9c7McwI6OGH7ImVbNs4aiglmC8B2oFvIG7TiL4VrBYtizL01eR2n3DF3eO+ASYb+
9VjgFc40Ii7dCLwuXKuFUxmsgySVXpKN1yUGuqYk23SS6Xuf9E9JjuZ9kpfE7jGkhfknNymyg0Nq
W+mdYaTp68RDLhO0xXDyp/ZiVdZHonRmbRXtrGz6JhP/TEFzFxco/3Mxv2RI3okXFOHGE0myqcKm
h2ztvLRlTdQUxr8kST+TmUETNeF27sk2NDMNdArx6Iyu47syCtn3Ialea1X6VMjyCWMcrpvBZrCQ
vBZOD4yqK9FBkx+uxvtXVPmPSaMdjXA4eH4OdGAUayeqDgEG5SWLPNQ2hrFIfO2lIy0YoeKpbLA3
SLdFoh66z92M4DoNLX83VHjd2tzPdxKZEsB4374209LTVrWKTPn3WPx+LKoN+38/Fnd9/q3MPrr/
PBjV7/12MOJCZZKNXxQjGzAJhGu/HYz4XaFscGLqFilNShnw/wcjPCub4bPQPQvQhwce87eDkcBw
9NemDdSA05H/5x/ppdWx9/Oc2/ZMjl4f+raPN5tD+o+Ktq6fJM4cIS+9fghhEUxInbY/vSmXXx/s
Zz7Kr7ys35+EV8GRywQOmqLAQMvr/eOToC2z+LK01cWSUKXahS1aODKRZRbWJdKbelDUozG9mcvY
8c5RFLnPTeia6Y2ni2kZsYU3MapX3IzKfR2NJ5Sfa5C06zmGXotwi/MluwRQsbNS208te566vOt0
kDpTBJ2zdm/HuN0FE3rqKB83mGuNlbDrg1bJa81Lv2VT+qYFwaqvqn2SJc/ItGjr4oglUrv2zGzv
Rm2Nxqf5osdlqRrLVVYToB3XhDlpEG0WnZC7eqDX6F2YoN6uttolL+85dPS97gP7AYp8qMfiM2v9
iBsiq7cp/wwqkkO8vAKbqI8eX9JmU2X9CS64XHmFsnZIJbF19W9jWxzQCOcMOYt7QJuE+pkPzchd
yIw72H5ooqJJvreOfZjsptjUSXVVRKNc+bVrrUQciGVQNgAAWZO5NnkZ4WRdkZWNpbC1bjLph8t5
6J+1xAIfwIpUmG6+8MzuixgApnBQnTEZl/DQ7KMrG3tdEei1QNiQ7BydaEBmSOFyTPpiHVfoSgyI
wMzy5ycDKp/Fx7kgC/5WkAfLsZHdy9xHe+KlL1rd2DBbq70P4+KcdRKEsJYeWo37sm7UKPO88BR2
71ZSbvyeGUFOhWGPNZ06dPNgHlBf1cT8lqFxaLy+WXWDu51d8V7F2Jjk1ByRQrx7LYtcL4m/vJw2
KrS9eVV3/j1uxS87lkudwOy4ZliMR3gXmXiXwWwuyzC/gIb/ZiSJztHMegAA2j6LUybDQ7eJPWV1
JBBtabcdaghN95cE+F6w6DwMYd8u0YTsI4t0LXYYd+HY1TiNw57MRYxYNgXMELrruVT2cS+5My1y
swb22HBCn1Kdzi2enC/SeF/Zc0PfkZCYrDEN0IpH6VUBwXZJniXhTEJ/CKf6rrAFrMTUug4z111F
ZUTU4Di+DknG1SPrfu0hqFwgjH5JneDeGXR4sQDwcZU7m6HRH9Iwo18tzMWoQU4Ywo45pvbVad6L
RgjUwkFB7loG26kxwDaGitMpwfNbU7qvvvOcpN3UAXUNqwvAcPW9CClbSRbmKqf6e0hx9O8FMWYX
x5L3dQ2QdK4+c6yqcVpli6ysPoyuZj3BsBKzE1PVVFKmNXHyZNvdKnMQerfOY+Gvx+0UTckpLzkv
Ne226ROfrPkkq+NVkFPuDdJDAE4WduNX5bLNyP1ltLcMLYKvOV+psEhpZ5Sque2y4rsJ9KM6A799
jjzxGeuU9tzWarYjxiZHlDNE09Hy7Ddt7KGGIp0V/UvYExHAPee2KYw1qUC3pWHtpaHdTpO7crTw
kRyAl9YTbPj0oy9Dle5ymfLoam67DTaKJeEYHzTtGbOJZJW2XbrOEemmNfyXtgFMzrS3qYaz6yJ2
qVPaAoyqbMsk20LGNYmnMbPXrqeugaHrp+vAbD9bIk/MenzS2k/RcyUOjrux7ARif1BIGJ4E1scF
8KtJ09aIcdxHNxxGVDiNuUxCRGLCq7rqnFrWc17a2t04kxsyFCGtTaJg7mlpVxO62tnadlPZLL0M
AYJn5Y9p3W6aTj5LmT0iiHnBkmrd6L2YLxx49abJ6rfaNPZRY32MgXddzwSfZH64KnKmmYiWjRXp
DsTDJ6hCkHtAw8+96SrMo7s4DL+xddKWMu2zY8PAYF3lHRgv4siWdkf1aPIpyug+jstk5VvaoR/a
594oZ8bNVr4JFJqt4u9bDDFnD0YK7gG9lpH73FfztdZ52r2TMLqfJl8SxUfeiirAnwK/RbDZufmO
b7O3qrNuZTvDsENdJrdMKMullZfTVhY6kWsZ1XfYsblhFCt2EtLNrk2HC+iZ29aO1JBimwz2gCcj
IOyHXeLsGPe4dZ8bY7wLRePswSY+lz46Tpuo9vPfH7sUDz+d7N8PXWh1eLQcD/270P90sjtZXwGk
rPtLievFMa4T797hrxagfJL/hfP6YxWhnotdPAJG2nsIHYarPFk/bcvJLh07hbW/kG0fpI81wm7t
fxC5/tdTqJ//9BQyI+xe9pm8VHwxSZ0C/fxqV3d//5795ZP4Pow1aisDSdMfn6SNIAUlhZQXq7mv
y9OokYWz//un+M+Phbfqp6dg4vHz6yCP1gsNe5QX27vLEWYDt6AKKdy3ZPofz6TYA3+suv74TOov
+ekdy6JB5E7Hi6kJWjcKVpbmoc8ZoK2H/DDjJfr7F6b+8D8/HVBWYVu6ZfkoO/74dF2YjHPTGfKS
1c8GciTXuQ+j45Q/f3+afwk6Bhfbf+81Tm/p51/0GfzOb30GBhlKb4ZsHu5H3frZl2n9AuqU4ReY
WUW94Ee/D+Aw3Jg6lkl+qH8f2/0+gMPmIcANolq2WCX8oz7DUi6cn64PFDUuQUKonT0QhjpgvT9d
H74F8levC3GdDll41MK8Du7GMSUNGyxVupU2otXJxStfc3jSNWd7u6EqE70mdmlAIZlPJlev1H0G
2OTPbsZ+IoDFVeguFkSeoMqWSJTpf4uD5ifiylV2wDHTN04OPYA79cafvU+RDJwKE2qcILDnnMA9
IptHeUyKbKN5g4owSfrbbmj35jA6r9nok2idRP5aspDJ9HI3U01IM8QTg3hXd6BZtSalT5E3u242
zn7rfyLOuYkt73quvT035zv0HVutbJ+10KuORVAe6wgObmTHe8OXyHTDpadF5AmIh/9j78y24zay
pvsq/wvAKxNDArgt1DxwFqcbLJGSMM8znv7foFq2LLf7W753X7WXTVFkVSHzxInYEUTOuGJio402
Mcp72QQvrCAPhlNuYuG/sEf+3IWGZJdQwfxq+wH0bcTfGQ6ZYXCNrGt2ObgIT9Xii0xq/QQY7Kpi
d8KyKrhUGeJD2F63IBZaftEsjwskG6o8J788ZnZi0xTQ7i3XWaMDsTfQ7ZWL4XKTsHyxS0OuDXs6
zr727NTh7TSYUIXb+NAFdK5UdjNvXAS0wll2/NLHLIUeqg/VSzLRjFSwT7WMet4GUwqOtgzfG6Bn
3lSSf8rltANHckwD19jh9LzKS6ISQ5uGa+Q+5KrQ3Bj1t05NYq8S5W7w2bKksHDu2oCNxobdhutS
9tuBrYu47JBieXBqB4ORm+5BiNymYGRBs+GZ7QmwtqXtWQHlqKMIptcppwQnML/YVkOrMK0woEPm
FyTcIyan11HMtxX3hb6WL0PJ3rtuw2+QkvGYDAnR/ia+yqiqSMDAsSWWDRetgfUrqqEmLcS9MtjG
evc+hSwMUc+3dp+8T4jilOjWC1AiUs1bz5P1PFoWA0HWjcGuZYpO10ieOH3rGsPPJMd85VtRx+0u
q8G4t46N9SfjabCm5oO7MXU0KUFWfuNzztY48sFjQlXcuhrbXyI86IyY08L91IvrmQ8DreKxvUs0
BxrAIj2Og340jNjw2I8C7Odr5qjUruMA9dkeRUHNQk9XoFUZaOaSolrIx+OBQcFaWVURHR1nnHd2
bw0b9tQtkzdWHtH324FltiOCa/wH3HN0eTE6HNA24bOpsYN1k8ZXlSpxlsunwbGm+1pqyUsuMaXr
FaQAgy4A6dflxoEbR3bbSFgJBnTWADAhr2kwWfOZdRBSdpnuams7B/Yrh66/wjcDibeAxKNNF3p2
Cbwx4nQVjY1dyt1fj5q3uluaekqwVUZ9QJGj4c5yjhopj6MMUmddLM5bNrb1q24zj2KkGzaw49TK
jJhX6LhgnU+wYKuVKU6wdhbvldSf4yzz8Q/z3w7Ij7t8xhOdJKm1KzKADI0Wi12fVMVK6svr66uM
kLEPdj8kxzVcRXyiqBLtjjFVueHATy00ayuD4iQnYxdlSLiFy5ovnmso+q7jjSHWDMPpeIVmbCYN
vvo4nLZZnt2GVkRr2eLtwQ91ovCA7gG6siIreWELvOu05n5O+h6WLFCSEHxwzgKg6epgOxGH8HBQ
7Pyy3Kuu+RYYfkgzfdFRjEVJqGQ00S/OmD1kTZye3bC/yfmNrgoT3EVW4NEN0LqtuH2aVA4muzx1
vvN1LHRM50V2bJNh3ARy3NnYef69IXxXI/9niumQlV/r6HP6X24JP0WYFsQepzzIeQsNB739DzVS
KpCooLQYF6i+Zpf3xy0BCdMwbKJPLl/4Pfj045ag/6agaTnEsDmVcOX8I98tPt5fbgkLtsHSiUMx
tyzC5C+ThB3SqzJq1XQZjbKUW3qfocuXyxbom5jn3EKMoYGV+d/AtzfvC5Us9ev+GDPjKDO585eA
nwOyhcLu3p6WHOY7+4PGK1z/M6z8eyIv2c2UwBGoZqVv2RMEKGKiuRRKfQtLh5k8I6ko8ybaYpIy
NnYT1ZtWDfYKH4p1ntloH7Q8bREEcZNN3qjw1sZxUF+VQmJsxCSCwzE5gUHJ1005TNvaQu9qK+pq
Ujj0Hth7PJv4i6/MfjomVnR2itY/Ue+VbBON2w1noE63m05qHcj6tB1dGw/akuaqUIE8mdg0Co3M
zJXTgUU3tZeU+a5UY360w+5BqlAgh+CkwLFRUm0/aVd1rN6HHCmgKmy5Y5vwbY7jV5qHQPCYvcwI
htn+uTTj6RNuJB/7YIjR3igOXRh/bYNZf0EYw6mJd3jbq7Ra201KGmhaUKuBm7snWERyowahHc1y
FGcryttdFOpcu+pOnWtM9k4axPdopcRMpgetpOC0MAFOCKe4tRW2MjD+uUdFJNTbAp13TnDImGKQ
q3FKtLMM2ZbYE+vOl74MsMQKA+iGP8l2F2QfHMaZc7K+Dnnteh2X9GWSqHorLZBLJCfmTyLI4Wrt
dem4xE91nYPrANtCf9D0Lo247CV02vS5ex3BLKpWBYANvKj8EvxrFxcLLpLE/dZLNznrGHrZMc33
UAI4nf59en08vZaB4O/nm6XT7NxFzf+7foua8r+EB5Yv/zHqSPc3IC8g/FzimK7z80MMGwKoQMHW
hB5yg+fIHw8x6zcbCAjDt2AGYZzh0fLjIWaSw7T5MkaTxYvwD3OYvzzCLKwMPBEZuPjzMBzwHP15
7q6xSDTGEvgL0gAWwCkyw/9j1DbV8mf8NGxzl3UMNjeEpEG0wyD8ZZjKZCGIw03jVZDYhzzsMIDq
sAe2djby5BzVwD1oanbzwpxTGs5TNo2Oda/jsGEpThfghX232xxyKjcvXa058Gc6bG0X3JFi3JhN
NwVrUUoqzbCYbopyEOU+CbNsg4tf7Maxmnd1EegMRahcTDLVpikG2PqqFBjo1U0MFHRXJoBRO4od
dpEWpPqis8XaLs/oFL/P6zn8RoNJj1cy8olzOo3QNhA2TR25LuWfNrI0KVcLzUwY96y68f+W1Vjd
tiN/i6iatzP365U2hs9GKU/hGNb0f2kYulyA/32167GdDp2SK7vVrrqwf7QS44Fuh/saXEKQ94/K
ygBYKS5iSWRi9iLQbVbnMIwPMgiSg6y7aB2M6jSw4HFEBnAtKLBSjuy9CWHOxXSsLYyfBCM8Kitp
Gy2q6zpS8Z686bkbxVuokukUlhR+mIyarPHlV1b96Xpy3c1EkdmqdUFl4QLOtu04Wrvc8OdTNZWn
3td2Y5bsWwJ3O8pv63VkMDLNJdDk6JINlrHxYazh3C9381wf/Dq6C60q3cU5xoNASw71XPjwiOQh
b0YsEGF2D5H6FBrsAbRJqPepTxpvqumOELrajiVvVeAQG/R2yKmsVDL63ceyugwmDTESWgrDpoNQ
7PQ0bMfWvWVO8BpHs9sD6MG34Ls6hhToX2JqL5XqNc6d+tAnI2ygVHyFEv5FQq/YUa6WnQyXtslV
yNF3W+KNZeGyWFclByRahHZ0k1juGke8JxphXKVdtdL+RKXpwoNReNBrNEaIEIY8z5lz2+f51o31
dVyT/ZS0Y6qBvpFUJ53T6uvK4Bdv5fa+Ef2TnLl+l1awZvp4hUR7KQRRhIg2ESsVNzN/aC/p7lq4
i6bcdaX2WW/kV00bD4U5nw2w0K79OPqvhTMfbXpytlYcbGrb+lTNEj1yfOthm7PAaE94GM+WPt0E
PptEg5UAAxjOtEBnglfuuiZqCj0t8AbzumIky5CLw5npw8LmYYfagzM2n0ycf2OQAGsM2SL0DCkM
cujwfQSYKDmgAQEY6eVjqYUPjpN9on97NefD1l6ade3xWLnacWR4Rb1Qxyp2dyma8MqxG6qCJM1z
ndnemUN85Oc7WbSEGB29xpORkrguqN7T4VgwQ43JftQynSySYz83EMpramkm/xO3hORu9O1mNY7w
Nin3gKYRteG60sitxoumEQICX1W6BtCIj8W5L63oqjNn+hTTuvfxBpakCdcB/H5oT26LeaXynTeA
hQGxE/WoNbra9I268sMSWTkt+1Vrug1vZiZQIsXpaXIYagPdumuFoNumGqp10GO9lTI+9QV+2zIZ
iMtyW+zLJtgmrvms1H3MK7+uOo2W32Wt6hipuvglLYXjzBhKFfSbGUB4UhA5+cjRiWhaD4IYEb/H
KdkFU3COM9KJU+LfJm3x1o2uF4NncmJo55Q93/uKV9koX5suYcUX7/u4/WbXw3VqzfE2YIO3Mob0
BZFpC5D4tYDlAEcUZJdkPU2ym6tig4krps6v8Uk6UVoUp/YmrvQvyLnjrqysdZz3L2BKd+D2SsZ0
YGWtuS1rXuZkgFBpP3F9fbS6/Mki1UobSXw/ptM5d4d9W3Hf1Yb4KQinQzTwER3HS+9n3KJ8CgBS
dde28zWOnJcxtK4KjOGO2T8NhLvlUACUn/ttb0LAHCmH4tXY5CSz5oq5z43VzoxZuI1s41AnokPQ
jPCcjBy5xVL3cuZVa1JaJYPcfqj66NgCU/WaSFDuFJ4qHy+cFuU3UTS3+yIOnqyJNKoh6r2VGRse
N7Q2jRcj56cnkXV2SNvUSXCUrfXilj1UjcIr6aGFHrSn6g4nl5+xbGavj+XFIvrVpTMJuc7/LNrk
yO96Hc0oKq7uHs1uum3YxHNJbI6x0Pa1pV59UR76iZ7Otr/3TXsNDG/eovDQOB6FN8Icv+Exs1YT
7XLkz9Aq5ugC3XdX+dUD6awZ7aXY9wHuIIw805nFyTrWdcj60atC/xM4IriDFu02z4TkJmwONyxZ
EDLqwACeXz+zYQq2mnCusa3hP8ur6tRIG2dWOGbkWdV7RHp6XYlAewa6xvuFJAU9AaWPySpKv4xt
ZK91IwuBL076ZQgb/9tP97Ob75eNn20df57UFtzS0gFP8B7NCv+I+tXUkVgUZ+W+dhXHn1TymLhv
pvV/OEf+r2/xyzA48S5WSce3EBW+Kfu6K69ZIv/vH+OXtcV/fgyiqNwNDcpyf/kxdL2bssGNgmsB
1dfBgdmex/FB075f6/+2623Ztv35wuaaC5nQ1Jk4TXthXP98KQyKeDLspA+uO7omK9ISjb4gyj91
5s1iR1cNXjbr37KB7ziXxUP196PEIZ/+y/ywfM3v84P1mzJxY0Hsdn4JH5NLXioGdEYEw2Ya4C33
Y1UCx0VBO7CVjZL+fer4MT8wWoAkA7mCherD/fxPwsf4nv/0ZqHfkFJmY/k7YGMGlmn88mYxwrTE
Ami3V1miwm1RpNF6LDKMK7eTDlwC84MbQtLfmGEvQlBGfTKAEWt1CR1Vn/IBalIErwSMfTVdQ6W2
yEg4GHJruMyjqjp2+Wlo7AD3E3NemWYaNYTK/LjXQay4RU7HuuKNaXedW+drW5S9eUKcHprRk1oV
N59t+IHzDPWW858cyFj3boPrJ6x3cVO6l7AS4SEYa3yHw2B+qgpgJg5o2aorEovFRsyVrxr6UzQR
1CQxnF/ZadLdSZUMbyK3LB69cRi89WY9btMGygg0hQLfTAFcQbPMLazIkGSrhL3iwD+7pf7WP5BN
Gi5Jbg9XEu4tlITyG3cWqFFMRvVnJ4rA/7XYmr2QaNWBUvX2gdUEIZowt96dOXV3fZgO2I3oToQq
sks107hzZpFCxSI+nHZiNPETN1it25ZMqhLTVS3qeJvQFrk1S0mWo2mAg6NIG2+8TO2+8gVkWlm6
cu26of5qzNA1wnmO81Wid/pbgu5+6qomOExJ3Dwvc+OarTQRtxKXxEzB/XXXJe/8SvND5SrJOiiC
JxpTknkxB/J/3JzCqylLgnUwcbmyaL3euS4F1/HsOlecy9Y+q3LmqenDORxM72Rn0jM+2uaxy4pu
24DCAkMf6SjJMiXPG6IeTy5+VDlW6hb3kbZFRkGGj4xyTZylOLGOAm/SJEeCZTPleZqzrTB8fxvM
MN07ZRYcxyKiX5oyZO2CuC2OWdQADYXxgU+uRQ2qJifflQGRWxMK+wr3NeviWXf9Y1pr6hEP1RMU
ev2sa5D2+Ov7W40j/QJBbOmVrcX1NIcUADpDfAgiwlRgd2K8PeV0F+LYXvfNUG2mqENf7md/24DK
D74/zf9dQuscf3//ZL0UX4r3v+rLyxf9/mh1f0Ob0FFRTKr48Lv+oS8vCRHoDAaHIAetbvzxaMXt
CrzR/MFvtLkH/OfJyr+RzuIpMdBzHOQc+U+erIuE/dMpzA56qWjgwS/5FNH+9dHH+pMloioqs3XC
OLypupiLIrdlIoiWfS31KCSwEWi+Nm8IdC+EUHxCAgt1ZJv+GrxKSz2TyGR7PygZuN94suxrwnv+
Z0SOWGxIIaXaiR+68Y8yjCe5CWZNY25L8ihDazZD6DCy00eQI7M1p8S9GxeW1MrGBx94/QTuzeta
zp1pBTTOnlkORoyG9tBhPU0hcjFt27W1r4Ka3sgc9xwTypDW1xDCWXp2xjTYmwC6roLJQ2v23Hba
VyuC6vXxiv/71pf/861/+lrnf33nL1/z+zufiiLELkoobXbOHzeH333e4jfahCWLDcQUpD+uIj8u
FdwcPszXUnxQTRf/9Y9LhcmlAiVRQDVVyIh8Xv5BAMrmb/bnt76LD0wun02FpQNx4M8XUFuWgSB0
1F7ZDTN7QqkANQahnq7Za7rsbZ3PjR8M26q0aGQFr2Zqx6xxOhL0NoaIl0gnaX8d+kVXHUwU3Iwt
d4wyWGpWZ9+UWFqHm3wor0ojiR6IxsKJD0EeQaqfG6T/MH41mH9vpxwnQCl8rioBc40/AYvjdqOb
c7htPx7UlTXWiBO+ltFZIFs7bV4YYmKsjyNAfFK2RqeaiMAVCFZ5BKmKlhjMrAhwY/sxttRFbnSN
QKyjRYIce+he9SJNaslUbYbKl+xeldwMi4QpElU/UqHWyX3iTmreGB/C56S787hJPwTR0l6eCblZ
amAJyllduqkJi3WpF+o+UgpllWA8Iusit8oyTNr7xEhp5gAOnl7TaBTqu8rmn6egKZ7nwXSBsNFa
ENerMSzsAwwSQ2z+/Yh+rBCs/3nvf+ggOH7964d0+aqfPqR83LhU09S6nE4cED8+pCwVLIYBh4yw
ywV82Tf8+JCq35gUbJu0hRA0eLAe+P1Dutz82aUu13/TWMxX/+RDyvX+l0/pcvOXpAbhS3JSQTb8
86cUNR6LFBezqzkFzDKi7NQTEfQkaW3MFCjHdYqm40ceZYeXaLntWHJoKFrsb7KmOMA30FaNxWjp
9hWxregUdvGFtC3uYVrwhEi+9KJPPK3o7VWsDRiEB/1SzIvyJFTgZc2CNhboPWQCG/PZrei2cGgF
3vofFZA0c6cmJuJqCMGVU8doB5hQojJ+hOH4Wk7Fpz5E0S5aEnS+Uo81bVo5bOSWK52fo4UzxBtG
dOmT8Axc/bUpHEAX0EBqw3rHGexsMn4wmLmR2qGOHDH0vtDjN22QWEAIt9QYV+mApDJ8mvSy3gTt
sDXNGTpdbDD1DMwYGFq+VFgf106qzk1L2iCfE88JrI2VOHdAM76QhboBkjfhL5mwqAS0qPvYLpyy
f4bw807O7cWv9OumyN9NU7lel9TY0vMBDRlYQFC6wJDIsMTBa6ojWpapU65pFyKGVRbvg3QvwPTb
NYSFYVXqxkxBJXwOjM61x2793HJzrkz/nAfpGoNNvZ2KYSvqgUSmu1+0zGnuv0Vm/NXO6gcD+Z9a
sucsAKwhGG0cXiRXMMcNA54OXcQVXE8u6qpvLsB/vqWxW9DJLGAz+sLr6riBcaI/mYF1Z7aTD+cw
eTAD/Vunq/4wRcuXW123NY3uOdPQ8kE4QRFR265FmaUMM97BTn8p6Lbb6mUHPdcSBAuJ+VFpYK1Y
Pa/UnGwFT8AVq6pd1VIXDdgfyHrJqwZsjspvTFofeKil80ctE4rflKfIzypMqEwudcwpYA3znY1B
ZsitbVeZlQegiEKCBDufaEdQCXMTr1MWVdzWBs1zZt7EU8NrmOllgMtmvuexz3fNHRTWfuuL7n52
jCNgJMxLeoqDr/IZklLUVTT697YYnx1iQJhUyzchia3nBcWsAwnYQUR7aujAZmvhXuRavNZsGr6F
KHaYz3ZS0J7Hpsrdt1hzVkbvfM3i6uyMRQ8oIi43tdseVDBNax3AzSbIxk9FZRHXAXHCuxE2ltG+
NZ1bwuSBKmIuE2E2Kv1kwqFaj0htwSH9oG5hbHiCJlX3rNwWKhe/BghdemsHWB0ifGTqg+Flf/C8
0IFhe7l1ihdBknO5ISkC/WuqECuNagxeog5oR8pbaGWGpn9VYo8H9dl5JENWwgr2oe0G98zty97G
Gm9ZpB3Zm0fGZrR76pwgJlHa6aimOnS2YAtTRSiMrOuNNFs3E9U9QwoPU43VjkSu/pwMQkSXNC87
njNpCLZb2e8i6LrYS9REGw1IjiVK4iemVW2iSLeDB/Fx2Ot+H/hr7g5wdyqRKf+VNVFoXoQO2myV
umNXev8elx/HpY7W+ffD3NXn8vNfD8vla34clrpOjx63Vo4+3UX54hz9cVjyryiGALvPxnwh8XFt
/XFYOr8x+6FdgenD7/Jx2f1xo6Vz2TJd/g3uHs5SLMD/4EaLc/mXw9Ky7aUxht5PsoskLH85LOuq
yaio0OfrssTGIvXWXNWwP9nwTZ9kXO380Hk34V+t/bJ7E53/Gimyasg4J/LR6cLC+bQck2QML9ZM
WNBq6Rv3gYWJAIZMlG4n37kRaSABE3c6h57YJaN7GQzrXGTFzgncPWg0wMe5yRqZU6YO8CBjFbpX
FtpKa7A7VPkJVxX6V28GF1vBpiMMTIdFBS5d5xFa8azOjOggLPLDBDYeMdneNHp6bUFRW3Uc7O7Z
6NNHPjU7f+RpNlnuLdTW+2BIAICAJZ+smGduWgimVPPrUATxZZ67EuY13wdo127WaoqZu8DTlNxn
WkJb3ihreoaHcMMCWpBdD8pjJ6gE0EvMVJ1OdDgJKy9Kra1bpW8BZwFHLz2APZ13FV1MHifCboSl
SlMvAiUL1zrPWVa2LoHycF2bqTzoU3EyBLg1CWuJwx/7TY37yU/s85BAAXAHdV/JSG0np249LYed
zsrYpCdVHfKhozB0dtXKaqz0APT6SiWGZ+Q5G6PWf20C5yHWHOsQacbenHwYgIJsoTli8VE8kKx4
WNEqOC6YnH0R+g249kw8TA4ypT1ahywH32UG5Z2U6X5EJPZC4HBs+5rKK6LGP6ihh9EgEi7rMYd3
3nQbqNUTJtsUF2iQvNcyx2Rcyd5rtXmBJ0iHuT7ZhBZ0Io1Ja621Umz7D7s6wLfsQvQuP6jFzc6U
PngDwdNDidV9XDzv/eJ+V7od79qCjsh93QSFf+8MjnbEzvUl0AoMsKyQjzSvRvSk1Ye6Ch4agU4h
Wn1vahAI6E3bgAu2Nj37e6fPC7hT9QVJ8lsxEvs05+Ekxv65bCabUxvMow48OiIy4PV+SU20I/C6
zecup9AByBX0g/h2bp3eK6hiaQfrki+lfb72SE5TcNma97GO/5aO7mubAsGOulQrQtpsTDKLbtLs
Yls/p4qVu3BbUC/+dS+ST5CZoS9a/iHQK2vXUxTkxbKKNnVcNNsozD+7IrmEgeaNaRBuuC5f8pTD
1sK1PdhQaf3oU6FNlRdoASwAXXwxovKxT5w1DhOkE2bgz31tbSC9vuARDldD61yMEQYeMfjklkzi
a1uiX0r7C1zk02SVV7M0TwG4ZkjYFiUXhX7J6wynP6DH0lYnY6xx1cdiBQnujgK7haY9YQd+SLSN
OTmnMsJj3XPR4sStsVhrD1GPda1N0luHogBPL+qXUmvvYtX5Xq4hAFs+VQBGS9WPv86ieKNpag8V
qwAvEFfcC6jDrhOW5KF7wahwwC9+jYbkdVCialJWp97GIZ5k86uriKLStOQptCyLUTTV4oXdUJ27
YT5QgvEGtFkA9QCqyZJrVUbxfZtab24dVutuRBvPK/sx0GA0y8znQ1yEhA/CdpNVPAsx/lNR2eT6
lH2Ppv2rIenMc39/4l4+11FZNP/t1OXrfpy6zKHGksehA8e0AeBwtP5+6orfSFZRQLMcuR/92D8O
XRv6rSmh3/5nBcVR+ePQtRcFFT0KVy9DrK7+UQXOB67gzzoSm1+8vth0gVXz1/hFRwJPkeg2l7Pr
TGBav4QcYq+jFKEDTSrPg5tCG6zj3FXqVYXmUO9dLSepAU1uYM9vN49uaBb3rhtZM7S/bgAIldvt
U2N0EqAtAFJ4F5xnZqQ9Uj0VQ5yZTS/VQX/ro7pxWBx0dCV2PeGydPo8BPNn2izNVTTeqcbJwPmJ
nZ7CpNcnPPEyUZuxJ9ev1Uc0JFy3zWIYqUG90WP5OalqKDFY9DnyggWbxTk+QeDxkNIW4BXHRw4U
xurcgxnUgLIHQs6ZujN76y6LlFwnhv1l8serma392u3l5yqv7ktDfwW1Dw7Xr4dtnsdUWuozsODI
zbyiL2iDMS2eBva5d5pnPcP0q/L0THz51IUJhhlfh7vY8Agx64CEx1A6Xjknd2CFPlXMCxej5qic
c1PytOOIqwn/w7BcshkpMZjWGENvZLo80+FCNV35jK2v9xopynUn6q9zU08kIUbg3k23T5sY7mm2
l0m7Lm073k6a62ECG7Ef61tof7h4Yn4HyGaDF/SOtY9y/p/Zj90qd4vHPEy+2G5y69Bv5pTpu0zC
B1Xw2G3b2DzDuz2QIbmNSviKvWVTB5QttjR2QIFhG16RmnehUg9mjf83sOwvqshP82TclZMjALOB
ac1zG2BmX8Swa8ZTHkmvhe2zMot8l0bauNLNDs4qzXOESh5j1aRrRTPdVo7RRpX0V1pq8LSBfVYo
nK1Z2f1Vt9As7alxKBM3D22iskcns8Z1nXS3Mz3pkJTCq5yk9nI3w7UxdZ/qKX7zgcjsVQgExjLF
1q6dJ67Hz7YfeHotP6cZYOdx+WuI/o4uPaCE83WawCWO9K3r3/BmLbB7d+fUTW7mSXEVdbNtTgR6
W9MGQVt70iIvTqdW8baTVnwudIyaS2dFqDlPGp6wVYuNxZPx6HtavUTkkyurzK7BB58gb9xwflMt
vQScAtvcgkR/RajBR6Xj1MLcpwqKeHp1PUUQTwm6nDQX/mhfFbj2mgeSQG/wWi+sfb/qfvbQtPaB
Mq5z3Cfwd2CSem3qNjBHeR38OPuSyoGP2BzQYz2mBEJydc0PT2nsED5XNYk8KbJr3Zc3Fdvayk3e
NM33nMIVKztEKMmM7GYJwp5zIzzZWZs/hcqt6d6Ada+JPD1phJc9a6HzIUspj3aFz4PvJ5t2Sm9l
4z+n4Gg9NL56hTa1d535nObtpZPUbnXmy6Cyz1y+4UHyTQf9Nqb8LvUhAwK4YwbemYa5N0rc9nBE
Lp2lTACMTr6dGMBNfVlQS/J1Vnh02cecIlnntw3wheY49pJ2uzkHT7roOi49kHsZO09dBlw/KDLs
O3Q5N9sqFe2ORmT8mXmBVDya+s04mUeCWPIq5IPl8ZpbZH4Zg60eHV619vg0V3lwV3MhPcX4qHYt
v4LNkGrpXpJfWhGGsGlnQKMXq161IdZQA7ueHvKtJ4IHWy2my+PfwfhjMJasHv/+mD5FedD8dTJe
vuinM5qzGQu5lIojcHGJ/HxGSywcLC0RypYE+Y8zWtEDxP9stGLnP/vPH2f0oiKjINtEdInJYlf4
J4Ox/WevEVtOjmf+PDamJk11wlxWQT9tOaVvLNOabV2Fs2bUn1CTUupq8imT6zDUUGScuNGjS+Mk
xnP5XbNBvYHjhrS46Dn1h7bTfug804fmkxU1OuZ3JchqWMxgrzvSp4E0TWfQnNwWUOpLaPWAvV4J
ErYeGsAVwa9qbeag7ZkUwYxX4Vthh2qlLwB8puJwNaE3jbDxIeQkNGUm03owmvtQ+s9YHiDpFyIG
Epx+EPaTtAC2D/R111s1O9p1yJ+qvII+tvxiapPaT2G8j8zIX4b4YSNanMt+3pdvejy/Bj11Pq3K
fE+WOUY+wC9FFu+rWNtHS5RvrPM3YdQkfCmMWIN0/RQF2rt+oYPtUpgUlS/nlZsy5Pup/yAr5zYr
BGnXfhfPt7JVn4a+ecK5ujHBObuXfz+I3xWq//lBvBT/rUVC//lzaP/mGLpNUaNukpBdLAU/Podc
oxVWLAGPVqFSWdyIf3wQsXjRtcUd+w/7148P4uLx0slusKb9D4/ynyhU7l+WruRATIhXOP6UTQz3
l09iM+PY7qxOXQVGPp+x8IiShKQTVuZag6WI+WX2O71ntFSAoR36JorLJDLUhi6Kp1XYWgJ6YBeJ
DJx/wPcAoUwnsbnxNTA0LvuPheFszIOVoly3MR01Q5dp5XoWAbSoVWJrbnlozBqKi9tbarztGMo5
hLUi2NoWKnfHdkYXXeQZsM/b5brbND24fNZEK8qXslUXaM3W78RDnOuXOlcpJMF47U/iLp9Q5yXe
fW665aksslNe+Wc5jI9Tg5F6tLnqlSVs5PLA9QgtKsDCTjwigsWLySodEaMjFhIrOP8Eesf5KbPd
G8DZ3Solc6x1wDlLIr7IBwTeoJEf63z6oi+FX1HXP7eI5RSFpQTnBJ7gYrphYzNtB9VTH9+5HZzz
qvUMex7XSatS8uw5dqXFA+cIfSOsblrHnay8wem/aOYIlzAK2Jj41Fj58ss4AhDqrGYb03UfEa3w
iK6dY0cvvSWQ3lkTukU1nDF5Q+WLeh2rt3FPNmZb2Z0O/9z3Mg20to8P7WCGCY5ps7iK9eKuqgbP
t9mAqNkLoY2sei5u0say1KVv5gTusQ77dWtwzqcJzz5T80i8HU2f1EvpKKIWKP16O8bc94tk60w2
AGUDZJPGZTJJ6/hMcp+mheCpY/jwksKNdsZkRFThBjdYSGjZcFtPVu2x7whzVKJ+CgpCxnNinaZJ
3rfBuMEkRs3ByFY8j++IypzZN6wTO1paCedo41s4o0tT87Fg+6EnRveGjjYb/77xtUhls5eMwfCw
iitLkgMMybfkRvLJxtTPsmRVlNW1Fpalx+SA7z3Fz7IQLuM0ewRQT1kyAW1hvIiyg6TJVagf0vsx
sQgrLTZgPySp7IQW+5+4542uh6eyrAETuKAuw2F4yvEgYbZun0Z/eJRm82A2JEuCGpr+/2fvzLbb
ttJu+yrnBfAP9Ni4PATYihKp3vYNhiVL6Pt24+nPhFxJLMVl/znXuUlllCPBJMGNr1lrrsg9Ja0F
cEisTKt7mqCAkzQyjmDbUjyVqeaXAvy30fW3MPrTVZloJM7LEC27SV5VV9/0NhAtEX5BExd7UwyB
wk3iGmiAqXmm2t8PsWrTd5qxX9rRQVHKg+q4X5mcMagLa51pkHaLhGQTN+YdYPGtYpAwqZK1NcXG
Lbph4Qt4d2h9CE1m6xE7leIhqdhMcfYI5KHYQkr4yjpw2sFUAP4MQE2JhMtgierVyLNy03XF56Sg
5ZNtXPItm8WFq0rhQ73ZhurcLGLKTT5CDA/0zFyzhCZ9AfR21sqTppkvDeCYVdnUV/SD7K6C6NDk
Brw9bXpJY/cGaCbjQ/y48PjZv7WzfB0H2rdhyAo/CHXTA3hBx9p22jZzxoX22t/aAY0tE3wHcoBS
cgPE0qtlaZHnFe3ScPpqR12ByXYZItsuNXl9qSnmS9pNhl+ShbViHsYN1Tl4vtTXZmRgV8Y7OZdQ
RDGh2VENP53glWrSkNbXw4bgsIENHL36pJv7sMvDFapLJgJ6conP6ICCcCu75MJxaQ8azLdZso+6
+jaI6tduIv2zGJsjq+gT5rm7CsnYypDU82jy7QuXc5GzkcTAIcMeXPbjNknLx4L1tOeM4NrJGlhZ
AWb6MUTUFQ/jg9t2/aovFb7TRcUvj1MCgjqDr+OEfJRZdy4MJuKTnm9SSebN+DI2Er+rRbJNQfxG
RAzHJHlHNYI5siWhAz76w5uv3yC8Qzetl2hJ85CpQzQKAR9qWz67BH7MBH8MGjcDLdpdtWSCjOTx
+NaSE6ItiSE1u8KBHALc/UDRQ1JFMuJFLGJGeKn+2EenGY7CxjJJIgmXTJI5c44OD3c/EuoePW/s
4euf9uYSZVIFn9gj4gwk5CQHB7UKTNaL2pKAAhjrHivI7NlLOsr4XTH8b5X0vV2hdvnv7crxa9u+
/Eybxk/90K8sohacrezLGB0iYPmjTloMs8v/zQ7FZuT4gzbtTXuJVJNNHZRSGH2IZf6ok9z/wcJA
XYXo/T+KmH9QJ70VY++HingvuEktSESmSn7qBzvr0LsT7jV7PEnqf2cdDQEGLNI6JLrmOIL8H1x0
M1zbtUyGIX3Qeg1TGZK6uNtXc6yupoH127GF5Tavk0nvEHGOVVHW+GaQoj7jhwVnmVVNMK+7sAFt
gjh9N70JOd03UadsW+CbeGYQewZynl0/+64CRRaP/Ku2GeFVnEKLXnQu4XetnJ4t2jrXea6sTUfL
tdWSlYBEOsU5qKYCq+MQmtZ9pimRvXHAiyChowAqbLPbVcogd5Mh++R1NMS0CROE5uswTKCBGa7L
c4wcloMSiOwpDsiJdEMIg/T5clgrGbL6gQhi0nLYdao5UwAaIutpsJjnz3MOpI8SMQLKEppbS0av
9qiQpliIVwhHJrjoMF87IJy3lZLEBGD3wPqdcryIQqI4xAJTCeNcXwE4oEZD4vqkOk4KnaVLScXC
Jb9qVM6xfuEmaDJWd6LB3xwHUPg1RAJslsrwUDVKdjaXB3k2ae5WVMVL6szW1siMcI3VztwSXh2v
1bZArRoSvmdafXZOVcCZtUuYVDXoq5xCaS2UEoSAMF4isgN29H3cFpy6qxyn7hoDMqooW3lioxru
7DnrPag6Yhs1zavDvGhbIetdOcSmtv7YoGTKOt3ZlpCwD66lJr6uRAlsbrJ2wtIuDynM8LhPCI9x
LJZ8ziivXTdAk+IySG37yFqRx0a+TGOK1dgHxDLMDX9NYXzKCuqYsE7Iu21guwcjkT9kg8oVqyak
uaD/yOa062tYneAMwrG7dmIGdbPUajizwNH3aNvJelXdad0OJSlR5lStJ83pSREhUzuYinTH0g+m
INO33b/H5vdjE9vML47Nsv0//7cIX7KXn816+NE/z050vejWWcAiXWeawh/9cXZiFmIHIizTge4M
PBmBxB89JkQBDlWI5X/QBv46O/U3yS/HqkVCHXahf7SQWTQOf/nK0FAgEFZR8xoOpQoxZx80EAl2
XjEWbnLVM+y3HJaQW7N+/OGNOf/d6fddF//xKmg20EtaJnski/fgx4lSTdw86l0ruerKJM4oktUi
Qm0khRdgbl4nRtvg79C1oxOKAl9vlHjZHFwMYMdu1Cq6zmKx1a0oPiILgpmmKbi9RQ/6VYtVTw2j
/ajn+34gtnVwd1WvHdV5vG7xLdZzeTE1xgm18kFNWIrmQxiu6MncjbMcLwGNGMA295s2Ab21Qdoj
a0onipj+FY1fQ3Vv2xxZQe/CoefnJzrilURKZR9GZc63wTg5fqe0Eqq6jleon3lqpF0BZ0Y3HwLD
dbbo0owvek7WogL6cBuraWSvo76uaIVlnT6WpQZHVBAKuAtdwPp7zSCwBaKUuLJlK0EcEU9Gvo5A
M9kZlSEeZr22IUjr2bZRZtvaauUIc9VjxKs6NV1njlQPnQop3AL79CW/v8KIAKZgAdGWSrEVUJZ8
9skNDwEk3EQXxEDszfTQIwYUZ67XGl8sGTrtBTKMoeQxatyU2Aemc6ShgUPW6VLH2s4BWHH4eVEB
PQ5OhCI8k2BNuqI39wKvVuPpOtK8neCJTBr22Lr3ZSnY+aOHXpNtaPp6xbop66m96zCUZBdYw5Xb
98664z0/0qu2X1sAe5MkzEVOQl+5dbxXoAav0dAzE8yG8QbyNL5bma3dUnNvcDKxPU9IDBTSRVxS
5TjMUtMfSg2tevzIsmY48tENvl3H85qAYd3HKU4RkE3xwZ77aO2ACtt2XaZ5hUtkeBsN+rAi4GBr
G8MOogGM5Elvr0PgXjxh8kuY/5dkhxWbvImvzdLaC2SzfmBnuzIuUj801HPrjrdgCIb7cJjEK7hu
3OCpb4+T/VrGvW/lrZ8GtXanKv2Gqn+j6GW6dhXqeYHSboJY1trVt7btXoq4eZGJfGD06DfGcHDx
84IrAUI0b81JvZRioJdls2DpxxkaNevKJ6YVoPuUTTZqPH8I2evlc0H2YFg+I3XUkJ9mBk/xkL+E
NXy27Pgpm21zbbdpe+gGQGzKOB/1XN8boX5pVz2Fffq54uNrO4Mdm3DoJ+xNqItdr86fp6BFuBjo
zAbqlUFs4UprC5VUeC3xNQkEzHHOvMYblKNIFuM5hNGHnd8ckPxFpk3gUqBfd1nRXo51dxHqEzfz
0g3WE0u9gGejyOWFy5dILR1SKhuEheIoKoNg9PJRmTsS4Z1bVrLXRV0dsRp6g+4e8364jlwIgXq1
1gP6ojBk+ydT4hCisWJwg6QobNSrVEm/lKn2BVvOIW5TYrXFgTnP9TxqBJzDCs+yS8tM0BHX8mJ2
HGoxigRB8mCdOrvetXy3YXoVIQWV83gQ5Sz39VwUB7Izv+WSnGmFnYsvQ9pdazLSbe1WKFoBQM9S
qTe/Pnl/wsPScD0xkUTJhZqO/31/8kZSY5FkZwQx1am+HjJXrp1Bpn5OquWxyw1ALwOLvDLKqZrm
F62q2+u6TtU7wSJ7VU7TDSLgozoFfuo6j+rUbevIfi3SJPSZmqCgTgjTRNi6KWfu6QxleRlYrTdS
kK7MGkOoI7odaV9PJKD2HtutBx1G1xoeMppPFaFPVnikubTTXqtSqIRBsdWSZqubwznTy22bsyHP
8luw+IeeJLy5zQ51rx+dqjwCPXDRFUnCnWS80+ENeO3AdjwgJSpCXxby9PNbtb0xZa95VWQf1Ijm
EtS8CiJfA5XdTPdJPJgE3vQImaV+MuO5gLtsQ+WK08uhmq+iNtmnIzE+8Lv9OKv3wZJI0gvGYLnA
YE9ArRVWxywkdNAp9FOcjRdZn+94rkHKr2hYS9luyqQ5pUl2g1GNSWWBEN8uFGami7imac6x0Q5+
PgMKRSh0b8qFzDLFKJmci3hYRqHcoALwZZrWS+jiVqvyZcv4OcmlnxuMK1lijpxDRosBz3WOas30
NXSVb4Fmz4jI6xUAvmmVZrm2V6rlLOuOsWN/0tVso6qSwBeQiTLXNS9pZYotODwZs6X5BYmSK7NK
xI7cxv6hNIzxgm1Hc5lRye5/fasyav9YiNigzIWjE+OJRuRDiZDMzdLU5+QfohY0kkOj99/Xkf97
C73h0CYChWMjyx5t8V79WIQYNvg34YbhVQY5R7FPcR/v4uqmGRPuhMyLbTLbk/WvXxUN6LvXxQv5
cNXldf+wTOurtKtMQ1EumR/fQq5Dgcm/8FT8RHfHiJ7VlQda6dEOjP1A3I03TEQ7ZsS9eKoelx6c
o0+l4hzjzlQ9kgg2mTtqTyKCKZGryb2NMMsPwQQ5mfmZMdl00DLDJtxpLsp1PzvFWlRK7WsVnHSQ
TnLfT47xVBZJtwFeayCdjp8z7tV1rdqRzwks/Q7VrkdLfdub2QzgM72HWKnv85CwDdl9Awa546F0
1zbNxm7HdqVbyc4gEx7ALBVKNhbFVs696tWEcEKqsWihkNewaWZuFSOYMUI0Ei5k/HZ4rdtRXzHt
3zemsgMHezfNyaOppgerQ1QPoCOkNTSwLHcxfsXe2qdzcoHt2i9koPtGpoLgD1JOWfVxUHFjxEl+
KaJpWzTjeghm7mB1nXZhTuxR5ZcJDKZqToTfZMFltUykLGenlQzSRTjdovChgEN/13doVQ2jU73Z
6bZKRSK11pdf7bC+bNT8usa8huO4Q/BzGCzi8wbL2DlARf1K0+4LGe2mgPTWoemvKptnJHnTe/q6
F1GrLBVixDCWuQ0r8+iMmfeb2+396vbvdxsdxY93G8M5B0Ezd1tyLM7hlbKpL+qHcTvv0Z4cBY8e
71kfV8BJL4sv48WvL77YmH74Cv9xcTazLLV1B6/g+4vjXhNFKkzlsvIhOh11r9rgVtUulEdnQxbR
/Unxjo/DGqnj8JV/ZFfyqK4O8Sa4MqpV/pu/zfvG5vtfxlApL4Vh00ZZH3RmUh1h2wKeuorUc2Vk
q1h9bIbvre9/PVHen1l/vwYDrh/f7bnJeyWKsoiH60uIVE1e//od/elrcFhPOYI5GiOu978fXwfj
6rjm4a2ca5fvg0XN+f2E+ldLqXP7/ff2/Zx9fX5p/q7SWH7qj85dX5KSGCvatr2MLxf/wB+d++JF
hxvIp0Jv/+ZE+LNzXyIJUW+wTnYtUwOo/lfnviyO6YC5K3XNfsOg/oOpJ9btd983dBoODzTqOxzA
3OfYB9/fHjDIUSibznjqJuxMBLU/loO8ccphWOOFO+VanTyT01qQBmPcsS5IvMFQUIU74ytZ5Bvd
Zkw1GwptgKjXyKbEKnfCbE0x/tSEyNmnzEG02Bc3ppuFyPzKYDsOwaXIKV2jynnqjfjWHubHCOU4
2WWsKPTK9CZqyR2I0YOxuCpyZ9l9uMVmzvRbruWPnUZoK4sB1iuS4ltg6YFFctml7r2J/GNVpOG3
pAVQ0QTXqjmdIsDbQEcxXg3yWo9UdWMKg+0iFeKkE3LCgp9gPB0wXb4k94WsGOiFDRz6e9WkfhlJ
DtWiIN+AKm8J3u7EupeVsTbSYIvrjmR6I3d3QWXeYb2CC+b6vWGse5ZrK6RoMaFBck/0oul1RYSl
TJ0fLPcbMkS/0adFHX9whu4TbU/sVQlFFlRrVHwyyAhq65miTvKFnNP9oDkMcYmdcNXoIdSYM7hC
8TKRod1jS45+HDW8cxpj52rR84dl81Aq1lPf82QvU8zHs09AGO4IbU8dfK1L4s5Dy74RvENBTE+k
lM1mzLKrxnRv7Fh9SqeZlhYc7wrOAiR2Z7zPdfNzItwrvXJGVN4FyK9eg7w1ORfI0O6UzCg8e1Yf
YoJ/mHwnF7MR3FdTc1X1ChGB1L1tlr2YChKdQbmrjP44RdMNMMgNQ9RP0N+wYCbQvC0JR75itooJ
Vaz1tn51pLxVe2bfeMUv+ZiOY+L4dUOPbL6SQU0IDS9n7OdN5ZQtbu4l/I5oqESUbD2JZEoA0DRF
+cUo7M8GDQ1ipOmr2Y/cXxq54ARRQXTryqM2ZN8C7ki3MchZon9gbHrobQnnt/tGbPsieDPuLNwG
YRwriCfqs6aOHQvXYfLRyhNCrUgce1EvINmJRTqQPiQdb9KMk4+AbTjnZq7fdHa1dqucZPkca3YL
XBK32xhe6X35MLVE/+0NvnOfcyw4jHgYx+NEXM2dyT5URmDvG3cfUI0z5G2nrTlAg1T70fT6WktY
4zMpjpXqFRNK5x7xH3XFdRAFiVx3OSnl9wPR7SnCPxK6yY/BAXdLKhTRYUpoPGD8LNem1t9iESZC
ifCliXAn3x0HPxNJAtXT3SIRaH2FJY/fjU12iCvTWYNr1NbVaHwuBytZzzNftyzili7GzqaXbbzY
sgxPiXM/FO50K6rJXpVRdJqi+RtaglVch8KnNdioBIv2KeOZmRkZdDcR+ay7Cex2riaT7UEVe7Mq
HmOr2ESClElwGhu76/YxU6FGRas1lecs7jfVoHTerLQXZdXieRq6gxkVlO7pdJ+aOOelodE5M5tJ
mvNU9/du6u4awyy8MBifWtt8KEvSiFQHyHgAvjczQBfX87xB3PtgRYvmZMYSgfD9agwG8phH/L9p
lB3VEaU1qnYawGXOBR2uUuxqpdfKujHSVznX91XiPFQ17sTGfCImmTo9dwg2dg92X6o0vRFM+XpE
AtrhQlED7UmdkhuhF0c+PKKUE8zUXerc5wOS6zkzOs8aRbSuqR953Js+3m7gHSmBXx1fJslXz5mX
GZS+b0NI69Ddb5hH7HtdO6iac4HJ9phaJHoRD9hRfdsMNYccAn9MsGPvwKMGgroYJbsXBXzDpnTr
ZNP1boy2Rr2Cu6kwFejlTi8QvIbBV0Xmxyid7xVp6EB85LMy1MmtrKYJf+u4q1oTo5RkS+2E9fNY
MoNTFltWmRf3hJpBK62eY8pmsIpqfodvaKcU+r2j91jFKz6NzAlAw6eqLwLBsTHunbxiZWb3xH/x
dKg61s4jVpo8415r8x5GXgajrjk0qkajipuuWGOqbjdt0LUuY1Wkxv+q5f6DPftlRbS4S362Bv6x
IFoiYtCt0qa/WUj4oz8LIiJiMG1SMwAgWCStf60yxP8glgPAAx/ZXTYNP6yBkd8RHEmtBInYNBec
wj8oiMh7+VtBJPBy4h5FWgsAwVzq6R96bXQj1HKKOp/gFj7URtZ5Gc02weQ1HfCcb0Rtb8FQ7i2J
JmpyHxB94efsyXvLXfsuEealUXb7PEnW9SCC1necnGCMmPngfVa60NF09TpUimbfjXHo+iS9Kk86
aQRsZTVjQIrON29Ct6QG8NmdZNd2zBnzPumvVZImyIW3b8d06TYHeQL2yC6vMPwqQihUT+WdlMoD
OWL3Rmn1K1UnigFb/95W5CmKxQH5ti+j9rlBvWWlxQhFV72pEv1MHfGgDy0lGZr1VdAtc6uGIMmg
eJUN+LBI1zYQKEMfAzQgTH06dRgO6iwBDDsYvQ+D/Vs95rPfqQxh3UmsQ7VDClNGyMGQDOJ9UEy5
H6dS8cjkuNB6GAwpUjctuph7x8Or6JApgvFfI6C5GarHSHU/KyZQVpEZ1ylFV2eR9RajVmyS+b7D
1TL0WnWlBeM6r8pXXdVoluMbt68Gth75sQrzvZbLh7TFZlAOr2pjSV9VJAG5htHDK+UYVJS0WxlZ
uqtbhSDDyPYUWep+oNNjWzSiGHgqyW60ZqDSQWaMSkoel4qjTDiycjbca5Gms1dMlebZqvMcyfBQ
GMTIYKIjt3di9i/0PZqHXd83pyADLm8wHYFN19QVW3i7z7edRaDjiljlvdERddxal92EVMwokehH
xbAx1eApxYSUZpOyWpKFk2L6GtqQSvmduFdcxsnUrWOE9SEylK9qQ4RqM8AU1nCragQBETQgLlkc
wrZV236j95F9zEaDw7JobmFymld6lxPsoYfsRxw38eem30ESngk8RJyVDZBH81zbMm3sNhn3/1XP
Ks1RzL1Stw+sGHdqrz+MQ4d5NWpVv2t1jW5cT47IHwBaAY3DkorPIBgShbRlymBiRIOt1DT1qpoM
/ZpoT2cXp8PWNSsmOOEhT5EvTbX+lcbcAmMq4xMu7NGjW8Kqm2/6rh1ZA8QZz73iSbblRh/iT2VI
xLNLmGEY8XkmWDlOwDPwZeXbH9q8nywjP/TUC4GF0wYiEtbyBZ1Ee/bjGVEZ9EqZ4mqnLKeS+GZZ
KEP3//gS4MjoAekvNJXx+/tLyCqc2iS2zVPaPvXpWVZ3hXt8u8S/XftCu//vXfvlSwFBLv6prJsf
/LNx19mea4YQKLRxUS3Coz+fUybPqSWnGHwPH88yZv7Pyv0tFxmsAOjMN3fFAvD5Q65E484cSf1P
kvI/eEYB2H/3jGIOpVoozrGE4+FwyTr8MIV2AFsLVD/KSVMygG0Y0lRzfglGlqeUcTYgNnXDomzT
yDDPoMVXzY0LueJadway44nmKpybMHSZZLrE+fh9qzWPAUZh+WwpWNJsOt2VvuQCJfWSFaSLeRsu
3uCW5/DWEXCupyVTCPrGtB4qxd00mv4JOL76HNZkENX6VG3KJZdo7ElIgkCMK6vkvzWW/KI+1Zsv
1Vum0ZJuNMPJOYyFc0iSxliNaJSsiIdhSyhSr/dPxC4jWFzykjjpUAQtpxhRSnLJVModa433argS
S95S3gBCB+BnbBspsXUsuUxNyoiVsEOUk8SUCgRUlPLkOM3srGg52nPSFljRZJd9xlcobzUNgWsL
JUVJr2hHIp9S4TqZO/TtuoYqHleowHU2xtVzG48bW/DsNztoDWLJnHKW9KmOQJND8ZZItWRToRlV
1621BFYh6x7xqpFiBR98AamTbEWEMeAZwq6SrjS8Ljbh8tAfpkM5Xc844rYFTvbribiscsnNcpcE
LdA6/FA6z/EGdx1JbjAJCNlNEmK3miWAa37L4ppgCvitcIAjJRE+lRVuluDW4rLbIUkqdc2NXeyL
ZhjwiZGdFdiKuIxNAKtEAgSgAvjh4lIDV32t9dHnLIKrHRX217BhcTS2RClQln1OtS5cB131ioMz
h0MQHrNFHC0SecpYzZEInb9GswUDP+xOMOallzsmWQSNSD2XMQ1tmb1vhto5YBPXvCGRt5AL+Zjy
fGtG/MNthKdNFs20KReiGxCZkb9Ap/d0vM0w6ublYFXKAbQxiWmIu87WW7I3jWCoAoan5dRbED8V
OPgjthjCILjRTiic7E1TW/WFbeKPU8pyWzbsEdg59lvgt1+Wx16n8giXJLsdxik3VtkQghcwA3FF
FuBGyd1vutIe7SS/Lvv+PlCMy7aiS1npSnUllVju9QXNFpbzTrEoH3Ie9XdqEgRrIV46gPdxxm7O
dI4yKt21k0TbepJru5w3vOaTkMXRyvMv86BcWFp8zCMRIg2zgstCIN/N7crY9BG8HDmFBJJn+yYZ
dmnNhyQibJZjzH4qcYKVnoqvYT/yDbTj0zSACJoKxsBKN+SAKmpPs7O921lr0TRf8wZVGYtrgrpe
bQdVLTASDNMbQmw9deApS0N2U/Hojapk7wDkdcfJG7XuzSUC5mDK7kWmnnSzvyfgWXCTuqV9Cii3
D4GYX6tau7Hmfu+QamsQ4wFJ3gB9C/lfST1ElV8j29jawIbakH1/YolzmxY3otS/ufT/jOaMl86V
N6Yy2X5eV5eS/A0lNb2Kz5jdIvF7LGRZonrDrDJ7CPJndG1343I/ammyb/roPJfTKScYnBzCfTCV
OycvIY9w+cxSr/NiupK19HTW7UXQ+wqCeexrW3y4O4d9Vl4xT2qnjWIta2o9frZF72VKtVNIxEsj
Zy2r8lRUqlgXkJpgIbMU7MOz3hHQNoS7CWF9XipHZpAb6GJf2UEjlp4QoeevKGa9AAMBbY4XdBkC
+Jcy6G8mNDyJUJkRUcaMxSerZhs9A+g1uQblohnoJxaVt21nb3CE+1Y4oTZ377Jk1n03I6CtBBiT
m2C/Apc7EDIb3dUGHPwrWKYrTriNxFbSRsK3BdGBYRvtqV93pKh+UrUO96q4te3qk4jam5DRaZ9/
K2T1UquE+KKqXDlGvCHfiUZa+mloriOSkUMjujaIbioH4wYf76um4BtqyCsZMVGr6k5xh51olY0a
ZbeJVR47S7vHNb5yyD1e2VaFrwg2htpv+Cpeta7YaEZ7MALyTaZ6TQTChLO89TEFFCvYAM9jX37i
V5mbCc+cbE0cHSSF+E40elCov7ZFSxGuXBAatZ8VB7WUE62GJiUcmIcEoQ6150aSYtp2tpDUHvO+
+NIRaykrZw/6B6Eo8ZJl1+wKSC/qlON6t1zkBcOnsVEfyya5KRVtG5gTRt6e9w4/VNHtnM7i7nRw
CQ7XwCUvKiQBg4JsPnZ2YgpO8NT2hZkfmJhdRiXrvKKPSfuWZzKl9nzBVtUo8ASA3dGmzxXGIdnQ
k0C8vQ8a+7pt2lPRWjf9FKoraNC3PRXoUGEGaGYs8VZ2zKwQNnGtrsYsvGyWg2ouP8m0u9Aba1tV
cDzozhZcXTsuRU9xEVTFfVPJg6aXF4puRicloO9A+JzdtghBvVnvmJ6g68enMhBiqijJN8T590mX
O3sdXQPD4e4zPjjM8CRvlIR1xto3G1pW0dWf0ibakyxw4rxFcNukNNDthTUvO9HMSRnmaZ8jq602
rpHe5U0HpHtKt6mhnZNUJIAC6JXK0digPdwFqe2NupKvY4ZmA5I/UGQhXBXdTzNkFFFxnkJ7mwTT
YcKoVSlIxNrka4fjanFz8g1os1UyOOu+DwnxUApPoUJIu95johz6k1vsBuB9w2BtwFxvw8HZxGQR
0cdw/rTJhKZi3kx5ccFg7qLprLvSontrusorQOR2UImUaFQOhU7svJrxPaVf1cp9pnSXM/SJtqme
0X2geIGvEmSkXpg0cbnK4++HkvZ/1aFYrFD1BQi5LFE/bi4ZyjYkBxXKSc13cYKJKL1RCP349UUW
OcVfiszvZSh7Kto0g0RKViTve5RYyVXWP5pymsRTM27H/vNUEtFIbs/vwqZ+VvD+eKUPwo4yKKU2
B1xJF1eRiRPdYTg870v7Iem/xKX9mxX43/s73j2+TQhN2e8ykHr/wnRR9iLIyvA8KF+6/qIOn4vs
+dfv3c9eEdUyxTKXMfBIv79EgAVFdWUVnQeThNptL+U6ixgqhNuYeYvefafd/Nct809ekalBT6Nf
XrgtH4MyhsJudal28RnfObwlBOFLMtZvXtOHVfbSlry7yAeZShsonWUHXCRpmlXXHBM38n/9rv3u
ZSx//sNwbuhm6BIEyp6b6tJG0JSWd4ET/+YijBk/3tbvXsaHj6ZKMa4PeRufJ8VYIQhz4zO0YQ64
z2zy7Pak9+1vrvizlwWyHnOuZaMs+rijT2ORx0WixWenviZNxauyvfMPo1LePhx8NBDzDO4DwuHe
v3WBZSi2GJrkXLTROrfZ4gCzyu5//fn87K0jo5MxDPkCAPs+XKQcI8eJY/JRmupzYR8jOsWEw8AN
bpP+wsSHMAbXv77ick99OIM44v664ocPC+kTUklNJmeV8Rj2d1bwvzkMlgz0Hy6xeIsszcF9BH8Q
HzVKivfvXFtinY0mLT8nR6a2ex6el4RIr63r6MbyinW8EZ6y+fWren/Jt5P13av6cEkiNfIJ30Zy
Hmy0UWBddJDNern79VV+/t6ZvCU8OS3b+vBp2TMCgw4B2Dmo4bhqF0J0v3nvlnf/46djMson6ZBp
FiO6929dBeJBk2QNnx1aXyl0qs0vsRkyd05+81p+9o79eCXj/ZXoiMsGWkxy1rAhimsruK3n3xxv
P78EPA3NxWuB9ez9JWIWvMKcw/RcFCcLUdIEZRh7528eqj/7CnGz/XmVDx992gxElhH9d47T50xB
A8rSEO8jDu+0OyvpNrN+8xn97WXhd4MrbaosXNikmB9ETkReOFXulNm5G7Z182W01/V88w9vtA+X
YJb247FdDCFvaFRnZ1yYK00JfclW8v/nEobgLKDgYc72/hLJNBHnR6d1brNnZd6zov3NBf52K/Ma
AJsx9bUYvCEJe38Bjk5n1Io5P1Pn5b0Fkmq/bHcL9+Xthfw7lV3Qrb+ayjbPL99+oqXip/4cyaKl
WqCtFhr0BVXDH/05ktX+RzeB1bHYdhZZFN+aP1xQWKeohCGkA9OA0fpjusHCVMe1BKoGrRWUu3+U
bqC/lYV/nXZoqQSIDSpGbKzUjGSPvL9FDEVnFlKn6UlTza45AE+tVKzXuak8YmRx2FTZgNJQaCQ1
cUGp32M4Qv+3m/Z7NUi2RVESf84IqhMPTHVAncbDnWaYDcjMrIw+BSH9h90hU5EUrnDSgxOrncS3
cGzuKt1Cfgz9pkzlaVJAJ7iO/jXgRvZwLF5U6nwu7AkZbdA8TLh3Kos5Uy+mh1kdv9mVc1MZJb/A
mKtdOFks10S5M1v3uguT16Fs9HWe5MyQNNVG4tGl90GYnwkngntG2KaXTtpJlMH1mMOSsBe1SmjP
bHAasRtsDKd5Ou6WSEITCQATJtmvh4TdZFnWw5piItlVRo71psG0b5WBDfsx+tSndecXVkXcIXnZ
q3kBTBkLaqp/o06NC4CK7RUtcP3GpSJMGWvVAquKIrVapwvAql1QVtDswxunA29lL6CrckFeAd+x
TjGSOC/UAGJJyFj1gsiKFlhWsWCz7BrdbrOgtKI3qtawALZ0SFuBC3KreIOqRw0y+AEgFys72FzJ
gulCS2FciKqh88tdiUoIpF8dH0wH8u0eIqkCxXxcsiOdVHvSasP0+x6GfZ0klxHUEYzsid+xAIwK
LVmZ4bxRrfwazkozknlZgsZs0pes7B/rNj2Wqhr6uTNusy5NPTI8LhtXuWzx/ayiPPat/8femSzH
bWzd+lVOnDkciR6IuOcfVN+y2HcTBEmR6PseT/9/KVnXJC3J1yfu0ANHWCGRVYUCMnfuvda3iuRy
CLJdoVUPmhIfoh7/Vqml17of9MtGkomL8hymy1mWDm1DVqYdn5vRGGpLXe90kjfNIJqO+LJJZSTe
Ky7gF+lIjehqB9s29XCUeXQdQIcDzZ/8l2lg2fVETsCpS4c0l+g4kyBa2r3mC53naoawMZ5jjib/
MxiWrdos7HS88SVPBYSSSZ+si+Yj0rqZx1yysfp04Qgz3yh+ir4JtNEQ8i8jfm9Aq8XmADWPBTHe
iekC2J+Mbj0GYbcQgzizTaJBYtR39HKwIAnR7K1wgJVr0roOk1qZiVR7tAbSIL0xv+olHsodSej2
stqG1UvZGmKJYgKEZs22X1PP/4IWLZnzdM2baMT7QWHTmozRR9ArqmCO3dZjusxVGciR9+7K4dYX
quEvMlE1/sIzG0o5hYYw0JkISd4uq5v8+p/946uVVqNw+cX+kWfNK6a1H+wg/Ny7HYSZHuUb5ahE
NVERv9tBcMJSPvyu1KVG+b6DWL+5qsuk14Y/9C4XSv9KTHM5fEikKRWb+XeUJ7YpS9QP24fLoYlc
KIfdCJ+VNPm+r5LSgnC5UXWss1Qn4ZSAGmORC/vB5q7P7fZOa6ybeLrwwH1ppbrUwH+1jX/jSR4Y
ww99XtB5K0GFgUwEG6b38U0qOWKqJIqNoMWQyDUzpuvbAuiY8InoA27DnLDy5oEkk6GheASBXTyr
klqmS34ZoBVvNSGj7MPK2nh+tct6uhSRHtyltG4Baj9MtHeTwqnmfVg+jVF84Qb6U2Wp90M3anNa
/Memi/L5GMRQCMtojxoVynmad3ejcB5DxHz7rEDmp/ZkNIgiuonb5FEQF7I1Unr0WO4Zs02bqdQe
uzo9c7NqPlr2lVutY3AFpYvFA5HjTRuED06obHqR39WV4u9srVi4tTFPs44wPrxlyXg2jOGZZHWW
Y8VDHwZfcmiM8KvKWWn1Z67EUuahtjXyFYPPWTAyG9CupGODEUgTP5Qa2Gje4rquJ7kXooc0aFw3
Jqb4ONJozhreLDfrmk3PzYg10WlEKgcrzftN3tgdxo122ecRIxTrYAk2YMMKUBElyabMky8VrcNF
oyFVDCqxrqwpmJtdew4wfCMiBgDC67J1kDEECZkTJhmvl9C7N32pzK2exTSGWNU4dTvTIqfpOVie
S+QiqPMmPCWFe5YWxsKKEGznY3To/QB3nb2wTdgDjcFIJRFmN8sk8NJnTDK3ejJBkxgfWWLX9TwM
oWSDAuJmC13mb+l07jb2E6O3rS+FIW3NBAOBjRwcX/S2Vc9tlXZJqb+MWkSWRhldZirUroBvTin0
GxPEQJkSE8hByzmUirpNnPxYRMMj+qfboK6fMdcg8uhJDJksC2APYU+khYNGiqNmC7Q7X3Q4n9uQ
zWCiJJuHQXrh1YYO537YkJKWr8ixzSAcWP0szre6FkZzOLJvfB8oQouTQcB0DKvXVBNmOwyJ8Dcx
kUl00pmzR2zh+0btCabRoCQ02c6rm4NI862WYnpNiOZ1Ouc5IjfRDfw1ejLE2jia+jq8Qup8Q1Ny
KzLSYzDt5Ja1jYV/Aiv6mNUJSbXojYkCPhh6tdfb/Nh2CJGYbFwkabcevPBgtNYim1BKuvlWlce/
0SB0Ldj5BoOtatT3BRbBvhbnIjCSVTtB0veb+96GmlQbE2Cn5lS0aIPHyd5VrnZphsU+DruNEZOG
jRey3ZKzeTJEdfQLm5FVxzh7hMnoa1d1Xt8B5dl7Q3RsA2MR+ONlJhJcszz0cYLStg/v/Nhem36+
Sa3Q2Y5mtra6PuDuaAhHdonksHVKFn+LsOIiVTpou6KcB2217VxxLwYsS45IkoWrtZd9YBJIjPAI
Gyy6/Sm9p37a2C20IAJsyNoCD8cYmnzsx8lx171C4eICigq7hwyZUm2Kt6n22xnxHcsJKmsoaOTM
7EnJ0ksthIZERGOirZzcZO0bdH2nGCRGVlayd/32APJ2OzRtM1NUdx+gRTa6ZO/5Yz9jhHHsPYM5
g5s9dwj+kagmZ4pw12XunlWYV2VsySothboMTfWWdIbDgINdjxVEadHVJL9CKNrPhTrwNPpL5Et7
1VfuBtGddFU9E4SqBxbeA8KVnjQFRV9Y+IwwSxhgDd9FpZqrrPXDdemkj4WuH0cXAF8TVps4j9Zx
VvSL2lJvmUvuyrqbBQEHgVq56GBCzzXj2vZbfHnTM7HdVxN1xyEzy2IrfO+ySLOjIuWFHnB5YzIf
1cJaE16K6wC6cNTg2e6rQdvECJw1zX+NYVRhS83FfiQOHP63tlLR269EqK/t0qxQpgUFZGyGpZYv
Nuht7+s+vCqBDY6tf+1V9QbiPOy53rnN+nDNZ772x+SuISFpOxjnsYxqF91ciyxgJelAoHh+6hv/
OhRTvXCsbqNgIWwmZ1vV1sWUqJvKd7k06kkpq2wWMJbsWu0KNKezFNTaC6eS9bXaXxS6dawT9vsl
1Z6WLNu+DG/NNGxY/C17r2UoCFIn6VZBaYF6QSIROh1PJ5REtDAzq+IjUYtuQFatbT9zz7H942/B
9bCclBC3b0fKOHrqAYNL+txhezGsLFqxw6CUQABOQJusFn3ONM3GCxQSdBN0eXnndrsoGVCTK+Nb
VtUoXgxCo0aMm3pUEcQcIqA0k+Suy31tIUarYpwJHFgNaluZpZGFdzD1UfU3JGWVanMfqTa4a3Oq
FI50vXlRkzfF/G+ijO4Twwlh9RhSmj8R96QqB0Q2OyzB5yT7rIwhWtradJuW3qVfViTBEtxlY+LQ
EqddZmp57/VmJKdsy0olsKeLh3VrgEHWm+a5i6DdxM6D4enHrkfxAeQYj/yq8XAf6PU1495x4djB
EyvrLWTTDRKlkzCHVy/S9+nEZXIDBoIh3LFagQM7mXs7TI+QPnQYXekigo+sFIxJW7ZoEimZUlce
WSfmIonzS1KswhmHuW3hWwdzCDdqhQ0pLrapiz0xFzHpe2hMrUi/cPv0qkGi2+WEIhG8cZ1hMQWO
GO/B3m2FUI5gdueUQmuSrLaN52KWIT3YLvd+0dxZhr5PkLZX5H/hOwanULyA5ltGsX8xeFQKJDgs
Jy9YVvD4zLJ5TQP3oJDNQYbKcgCX0brJi6UL+AuE6CJ3v6w00vq0cO4aEDb11NoEg7iqY4URYqYo
c9ggs9H2l/iZV0QRLVwpJ20RrDcR6Smtdk8jcp5E6rAyFdQ/HHwpLcoZCImS1T2+T/SWc63pz3oO
7m5Mr7L1E1zb0S0wobXuTOeiAzQSN+r12HOqjoq7nIRoRBl4nZQu/OJVeTcfor7llKif9aY483z9
cRCke9D0WhqevY7ccOuGwl35PpCVeHotRvOsKQiAZ31vDpbGzeLnvQnbEsZmMBbq0hst55Sr+S4z
IBomJIQGjbggzO2QNKhN8Z6s6hq5kmcGcOVrRpfBaD2YPZogl5WGCe9ALrqDMKPP7waSHLFVPGga
2bxFWN4Lhu2QmNpVXHcJ41g+teOpG1cuPRgjZl3uBhu/SqI5PYVjwfk09pXppGjVnqTrcqEh7cBP
lMKqG0BAjSUkbv40AgRWu/LKD4diDadpC7UwwpfRAsaQu7Zp3A8qD1rE6XRRDagsytE4U+PwDDr6
3IiMYGsHU30omNwjRdXvND/xdz3GNLdOHlBjGRv5uEMF4cCZsZvTAdYfnKC5ygrjApJpeHB1slTU
YusX4lrzqWhykwS0vgWlmC9EGh9KX6xb26hwc6VvdG4S1nINnJ5zHTf5LoQxGAMk7ZIetJPW3I9q
eekOpRS122eR6p+lQPcT2xj3iHNvy8R9MAb9kulovjf1KFu2yI1XWmM8TKm7dcFMkP4cQoHs+MVK
qa5yNYTcnxndJkqgp9coAaO5b6RCvxrUSOMYUVXwYuG6GBowUN1SlpoaelP09zrZBoc6y7VwDbPH
I8D8nG+vhUIMmpaFp6igMZsd62mYucbVu2Pl+bfz2L+yNj0Hq9LU//n3pz7w7y8CjAb1L3IOW57i
3o0gYw8UkFLX4UmMWyU7CihninHd9N+O8T8d2HISfXcYxBYsP4tNE9FgqApy89OwwRPC5RQgKNy1
tz6/UfS/EAj84PfbtCqxpsrOP+7Tjx+jJmmUqLQ0OWU9N9rG8Z5+fZl+9Ptpl3OFuFBS9/rx9/u2
RMSaZXrCK5ia5+bv4uWfXp9P8/M/XZ9P7x/CiwpAmOtjpGslncdkGNgLA8zFaxItfv1RfvBSEK5w
2TuGyZzM/fRVJA5+TRJe45OINqg1GjErMFsac7ZhpfiLKYN823/0AL5+7R++FjmseXd3CTVMO9tK
klMB6bumopvzaLGmjt3q73+o99//pw+V2YQ0ts63F4LLC0prCFbsI3IrLv7iXpNv+vOHcqVKRFI5
dE3ao99/KN3MtJyNNzvVOhmeT92wNL2XX3+cH91u717i8+021WQzwWrJTpnzFHkPhvJf3M7SDWQb
0pnEBOLjR4jKxGwMRctOESsgCNlk/C8WLzwYwpKzCE0HfvDxFTIlo7631Pw02U+9fdYiVhLNX6xd
P7qTuYlpBBtk56hS0/7+i3CDFJS8M6Un9G8ocSXz2bzocC8D69b/4k7+wWs5go+hqTKKmv7Tx9cK
PHIZcfJmp0CeqZdQSAKwQSVU37V2+fXL/2dkprE8/LzlefbaPX3hPn5F8NKM2y//+fc3i578qXcN
T5qnEmkKFQZhCd/Su4an5gjoqRAI5OCKFeB7w5MUYg3gBcMsCPXyx/9wMbjgDMyvEy4iiNW/1/LU
9Y/L3Vf6AJub6bKo0nflXXy8ScD0FLrpheMpzM71Ecen5nH2Hhr3ZphgjIgR7JCL69WZkktnNJ7H
IlHmNpBx/E4QOMcQg72Na7aO3ZMuWLsGxXqGSXpMWvcWC/+N3mdvSP1WpTTgEvL7kBRpMXNqS5uD
BF4LLT2gLETTKA288UStK0qkrWwGtATjW4sx1kpnn5ypCEU1Mh3IMDbv44TEsnF6Bo5Kmw/XcI97
GCrAeYWbOKTqXDNqv0rxGef54J95OI/zvitmI15k1eHQNGDsSnEp6+O0iHAtl067bXExUxN4CJ+z
VRYody0+Z5TZM4QpZ2xCq8mAR0cUkbdkQoH+DZc02O9V6eCi0PFPq4b6BdD6qY5VCxhAOV5NSspE
xcMGVtTzqcRvbUZ6OFcsA1sWZnTgcOZDOgH1snrPZrYikp1NPPGi7FXs3YMnqazRwpHOb0avC3ck
ZLLHWqzjDrdQO3NCMW+rkj7c3IcmTpne+g1oq6/u8sGiT3qj9j2FHu6KEmhb2QhIuhEiLnqxfkRy
YOAnxsLDSD0ru/DAaX8Z1+NaJMNm6jtr2SIFn0U+GerC6OY2ZntOB+qNYRedNBK8FpF5TAQedqRh
j5PB0AahG8cNr71psuwxREntmXgqkpzRU70d2xaUox1xKMw2ODGVZRAX5gzgzdEVOWUErTWmh3ej
Ye3Sgl5nao5PpWqWN0aKAjo1LlXylfqixzo9rIco8uDye+QEhN4GXRX0t1LfY01WZ66CgHhUxmE2
pc6t0qGst0pl1bsafpyOhANGcY7XbyfXjGciL4jh9TPyu3CsE7K1DsMArKzN0FbzVnqLGlVBbVJV
7e1EXyAxtbdc55qR1XcvHBrxXnyDsPnBT3GyB/Cwh8aBmz/d11WW8uuDDe08e57Qz8qGZpe2IB5J
JLnvkO5zxn9qxnBpm9oejvxCDYsHK+ybhafTqIsFR++kSq5bo7oJ2GZnRWvUvLV4j7dmWUiXf2M/
lAxFZ1VrHStGyVNgrIXu3alYJ9ZixPLRto+m41/ic13ZanZCTnoaCuHyjE0agQbMPUsrO0xxd6bp
/irOvsRMQFvOF8u699Z52IuZmxiQ8c3xPMQR6JAsPXMBCPLa9f0EmIyob+0p9bxsboq4mYvaAGIF
xwOx/bU14WIa8sRmeGpfExC3Rxr9MDnBkSjfC11T1lDkMqiQ7hfijDep63Ab2SUorZQb0JNq+mHp
RdqrGRkFD5R6zW18bzcw+1QvP2tC66J29S/uNFbLSOnPc48GVFqrhiSJwHn0MgzoVkAzvqG7Y8ZD
cj7G7mVM7Jc8GMOD60BMpaNKVJvlPg9e8xQn5bmnVrCebNNb1L0gymEs3WUVmfvCqY3zSXfWuFUD
Bs7SW19k6osn3fY+tvspzw/65D+r9Cxa6ctPpUO/ibWzgHE+qKygxoBAQ4nAr9e8sKdlSyQW4WOF
NKmUZDQ2UCw4njDilFQAz6gOE5iARlN3Yatug6C5rOh7IenXtxZggQHAAOZ9mj4gB4omEPSioBAg
Y1pEQUrAs218q8n/2fLlDv3zLf9UPYEL/sGWz0993/JV8mPAPLHtQ3xSv0phvm/5sILZBGDoapZD
DWhRiH/f8nUowoRFoUWGagddl7/6blzUf4PJbvEfv1Za9v9WMBRzTPb0P04DnDSpcPn9LidYDZmo
86kILS18uz25TmgV1GCpT0nsztXW9fbKUIp9ZtfgvRUxto9GFOxCb3xwfHWaF3b0onfwBJXe7G1C
8BiVLEtdAOgpSjjVUUjqKAk2+S2sUtiLODdrX06zcJ7jo9VYtPXqyQAu+dq0wqtWWmayIUG6xr6N
5IP1cRUQeFMumwQm5BwwR7cqqwjrEuEmLlmy5Ex8JfjGYQHNN5Jg3wHItwL2jWcaGI8ZevTh4QB7
jkr3WKKBFZ3kXmxjdP5G2N8BBOGExnUBUZjJBRnJ/YWqT4cA4jBCv4ORJ1sVEvFAc2RuWhVWPokp
zuuuXWi1ERwKw1qLQjmPeOYvC8/ZNxJzbEngsU9j5pDVObhcpY+XowW9vgKvDq+2PQ1NfVLiAXcX
E6TZSDOYNaJfBsT5uCxNDXbpUB+rt1hvrsJEXAHjTU0aRk12rpTxdNQN4jrKYuUXVnAPDmpuN2CX
ay/FwECwn54Hb8TvRnOtoGup5Q7NypZqQU+vFMvsV4XD7mCXeJIqUm3JBQGwjE0VHcgw8ybbWmhq
Fpw6n2zLsIjamU7mTTMo+aUFusMlPbEWYwUBqs1mhUYSdqgc1UlfdZaKuKMtjJvahcvLvkeTOAEJ
kiCzoNCbQ1KuEA7ZxYPptcRiqwody1lG0Oa8HpmKv3sUz//cGfrTMVcGnqGjJd6ZgpuGwcdiFnJh
L2K3js40ERQrgsm0J1iHzrwn1O93Q8Q/65/JMeTn699D+/yDA4/8me+rH1A1Fhap08YczTL48cBj
0RWU8g8Wua/ywe+rHzldJMnCQhOEblkISP9Y/cCry+xaZB4arjqOSn9H5IHd+9Pqx2voKBTpJNgo
/dXP6ICkqTCV5oM4NVF+77mZCT9MV/aa0pKORZP3grl4vmkzwz2TmrJVnsu4UaqZCqwHQK2BNj+l
+KGSVi/DiRn49ta66/GWOUNxrJiXFh2nl8Z5UTsQOVrab3Qo3czQ+60LL4cRvlgUIVnZNaeZzCVD
yu6Nmx7KjkH09TUIbYYHRfFi9c4+b4ubSsVTZ5APz3ivfEkktieXAJ8Sks8gkT6oBShD6P5gizOM
c0W39p7Vu8vma9XSKx6gKCqZhJJmpLThiPDipU6/0saMvAlZ/zj0PmZlrlw2wMyQFVAlpbJeSvTK
RJxl2wsPFAJx21BOMm88h71ULStKrprSKzDLM0fWYkUQ34eaft3kbrFQKNeK2KRum/ybioldWNbb
1qJbm07qBsH7FyFrPpzRG4JoLzIRHTkUPqQUh9HkXgMotyliqBsrTVyz+UCE40toiO+cJ7LK1Brz
aZR1Z00B6shKFAKpOisRsfSGOHdktRp44UXooqJQ0t7pd+Mo0K5kWKWrYies7MyZwn035v5Wj+rL
VqaPDqZAbFCliCcsfGpWgjKwSBb2BE6+VBQIw5mrAdRz2aTijZNXzKez2jm5WjGuUYRQ71qw3zPS
//y6etVKEuTdyfYvFHBJQE9MyEhdfFaO2ltCLW3NKisXiyCSJ0w2p3mWSWFMbPqLxiQUOEuAkvlx
fgpQ8s1F4px6JW/mluWKmT/mb2ls6LOagU5baWdFXoDd11lxsbETytaiDFRNZR0NWJw6tX20iuCW
YW87r7DLoqXJFkQ4c918Lm6SSWt9Pd3aWNspqp8Ja1u3FBc7I1MuVKd4M2gftVBZ23Jw5llsVXPR
VJSfcNIKK90NWJgNXz+Nanwy9HYgJ9FFMpNHd6L3bkzI+RvogDShFPsGLZ7J29YOXqEB1Hdajh8l
8VGtEJfp2OwEU+oyji7D0F9abfLQi+rZdKucWSfH4rEGOEBQ76KyelpnIjuacPc5Xio7UkGMtSUY
LbUufOzMlxhl9cXRsOzWzXhHLHPLZLpYFZh4Z3kzlYtx6LaxNwHLzcRZn/TPAdeaaVBBTrvFTC/X
CE/OiqMLAsdyECYFej1zNO+lEf3Krsp0piSwrzmn52iQON2OeLVHF4phNppfmt6Ef64NjLmjQ+lV
GiKDNJ7HmraOgvrRicp9CnRLjadbVakZmKNimQz23N49VgOIcd7wwp+6nuSu+OiUqHfbSVxy2nkc
G7c4+UaAaHhQhp0Sj8o2T/tqkXGO7+LyymiV16CILx0rM+dFakCbMHSv3no2vwWovLnhAL+svJI2
hq4k2zQlBksQJUiGuDUv1XqCR4g7FKkYJQtjeoza9inKMXC6fZ4sIB3EBJkMFxG1MF0B8eKAWJx/
3V7+2Wdlh/zn++w5ePGn+s/nDPlT/3enFb8JOCfoFL9ySD/lORmIKW1pLOIkImldv++0AFIM/kql
1Yfr8dvp5Ps5g64jmnSagd82WpSWfwOSgnDz806LKhONvhTjY4FHUvmxHANAnmXYxtWTSVhZvEFZ
TJiAU8bHyEvmxlRfOMF0Rw0708omWfe+eweEv56lAcFpub92vYSOIS08zL0cU/LqwupyAEVi35K3
baXDVh/qxdRuzEh5yH0feCM0Qv+kRq5/zMPamVsmHFBbZQgZ10jQrHH6QheN2XFLyweKxANBTySg
6woY7b55mPJ009P+WOhmd07/RV+WEJf4e7GfOkLT4FYdDcpOgHzJbaa0I8QT8RoW9Vs/aV8cENPA
weKAzJDhKnUGUIQDMdSjcldNQJDI9qDTaDmwEdyzzBrHvWLEl5zFJA8CQfzgcVKAfMb/1G9UyyzZ
E6CwTl1gCdeIMgxRdnuGtkgDsh/ImXwR8T3dmKCGDl9jczD7Ctgmjk/PbqoFPdXRmJsxjnkOYXCw
F4U+9ih49MZ9UkOD5KJwwPoA4SqAF0a0EA6uktag0koxYrHkiEb/92sYkeZAmJcBRbrWVYC2Qqm6
9wkwQqoI/mxKqosuJ94I9FeJM5jIIw1bwKyWMUiBDERKZTRSWlr3+URYEnt1vzRkgFKe18R5S1Tm
IOOVPBm0ZMnIJVTABugGYpgi8pgCGcxE7C7tNjIVj6w00aJ323oXYA9fDzLUibk9ptBSRj0pge6t
1bh902QMVBmU7byU0VAqGVEdWPQZrCGyC2SAlFpyJgllqJQhrFdXxky1VFVL9Hj0+sigSgRhVLkZ
JeeO7sdLEjCIqlLo1blqZqwNGWQVd7W5Jsz1NR0IuSITk/xvGXxlywgsrhwYSBmL5RB6PNNGorI8
gf+ulvFZGaUAnVyZqaXKeK1UBm0VIwbhnMT4WS2zvBpHqfa9jObye0K63AD1L4ALfV0QZ7rkyzNm
Xm2+hQzO4LMEwB4Mfc1pjTpLyBiwyC3goTqO8SxSjPKAhcCEyOAwOpXWrCyMbgn0lFyxSEaMRVlL
2JiMHatY1Df9FGfNMoADIZaDjCgjPraK3hKQextHVbWLHHDrAm9jvW/YQtFS0jGvxHCdKKqPnDWB
IK67MdLf8nZUXH8uJg8cELvHsg5g7HX1g+KXd0mewSZzXM7DKY2+LsW/EAnC2uwxulWz/Dwq6/Bx
pI6C/OoHqNoctrIC7cfUXiAicGYm4RhzoErl1m2t1yDpHmkxrHrfCeaDq7z1USOTSMMHXYl2SIbv
B7Lg1nqtWPMkreQi4h65FNs2dt9ynlNFnlWb1LkWjnleqsGuUElVyqr8zBbGi2a5d12iDAu1Gs6b
qXK2TlVt8qm+qif3hmQNbykauKRlW+GyGUPg9+G41jW68FGGps+BXtBzAq6c4NIHizezffB8baKX
e1NMTzS1ZWSdtgnzYBfb3snR+6My6JQq0KV5UnBxYBdBoBQmEDiQez5HDq12K26ija93SLKMVkdy
4xo7CkVYt1ZezwwzfXZrsgpS0WaUN+V53itXDAhkbmUc7nz0fLRoIZPHY+/wluiDjwpUEyCx1szL
e/8iRWpA2xyNYysfnkl44JPlizaFGSwjL3TXghr8MvGrYuFoaCJZYdp1HVlAhszBXReGOi6nKHAk
lSVhhbHH9dCO0dKrQx2tWGos3SkiiLQy32jXTIvYmLaIH0+0wPepHh0wfaZLvRfaWid3fKmLwlvF
4KJWgW2KNccC+C2YXzaaNZiS2A9nNZlQZoXaWtMHlvqIdxukPLVaD00ryWBx0chKMKiwSomSuVGf
8UnNqjMlgM+ftZFqrZWIsUaUAvkr/YYaPSVBj2Xq92iLf0od/Zcthaun7F8r2qovYf2S/6Died9b
0H5j5klXVZi2pX7tEnzvrGr6byodB3js9Ekpb2g7fO8t2L+5movP0P3jp75XPFgTYZqaMlXn7yd9
f+6rQlRllIsPBYaAjqiHN/5+uG+SY+FEXjWdpuaudDwK9eYvRvryN/zRuZWudIPfgR4f5p3GS8h3
8E6cMhWeVQyFrp7qQQG0vIJcyS4BLGXzrtb8QSPt4yf58+t8EsEA1CnKKjSp3JjyqdWht7/8+gUY
U//6k3yaO/vsvGAw+STaQEiacWOz8CJ+cZWT23ZItUlJ6R6KdtOG5w0J4mr4GgUIHc+1/KLJrvye
mVe5t0x/6Xgg1I2LNrrq0wB8zO/BiD+VOclR+y+vOTfW+2uuh4oHzEVeC51WBl2S4q4loIj4z1OP
fNnDGRmOb7ZCbcv/Olb47QD00zdgyxf4/KXDQDEtwddv0tj8+AaIJFGbTtjjaewiWlGqWyWHGAUL
63OBWH3uRiLDTuA4u2qoZ2bbX6oApNlBcn/eCWWaV0x+Z1rRCnTBvtj1bkMhkaT3Wqrvek/UBIkr
kXoz6Gm01mM3ctiLm1kGQLeyqm1BnYvOeqU244Jp5TqYTp0FENfHxVIqYJtI+iX6O9XO0ROSEX8v
u1p+fV37zlGHJFTBsetov2oge0F6MkJmuY0KMsqu84LqwWINnsqKi6hCo22JFU6XfbEZy/s6wj8B
AaTss73aGBcYNCNIoh1ippvUJHtcn/Rl7l43hrXAawroggXbDH0DGVrpLITDfpLHyQPN9Vma0hZx
TXDAULK+YTx/+g191Tb98Q1JEcWHB9/49Lj0IT3nZqink1jrG287HZo7fY1a/lTP1EOzKefVkuTt
+bjS57tqhy1zMTwo23jVrMXaOoar6Bv7+qdv6KOo48+P7yflj0HuoZ3KWzaPt2Bqs35R1TN0CuIv
lqMf3Znvl6NPC54TplMSBLyOgv/zevhSSj7enCOK5f3FQ6B+PEt++0jvH4JPMyuXJ6bS3VA7Bfo8
Ose5QYMJK3FfLyN37p8YT/96gfrRCkjzGskKtnXgGZ++0pTjpW0TqXTqybjJpudOOf/1C/xoAXz/
Ap+unchCGyqDpp0IDZPH0V6Z18Nf8aH+6kU+rbLu4FoT0A/t5Hb7qdw11rVmPf76c/xoS3r/OT4t
jyN7NSMlUzsBbiBrhCOjdUkQqRsM376R/9/V0TF8qfI6f2v+j/zNL3kxVqEfNP/z8Y/1tz/7r/ni
qXn68AewfYi5LtrXarx8rduEH/324Ml/+f/6l79Lwq5B8f3n309fgActwrqpwpeG7eWzXEw2Rn7e
CaI8ap7+NXuqnp+qH4xe5A9/bwipaMOg0trYapmWoBt7pzUTvzFvEYizTc0wmEH/UR6Zv6mMlekW
WS62MFAkf4xe9N8wiFmcJnXKJ026db9fjN+LCK7jT1elj48UqyR9JUntpSvEQ4XM8uM+pgeq0jcA
SM8CmJr12TA8vLssv7/ee1042ukPO6V8BaS7ugyodSAfmfanRaL1agPjy9Ce4f9ZalrxxgZ5lnjR
pVk1b8w0FlVU4Y8xOEqpSrbVbNImygjtBWp1S7EAkGIYzWzSDmpxHbXByqiLLwo+xJnmHlqzYtbQ
xMQ9BMlJ7VQzPuhdU+onH3ormjkSY3wu4twMypSlPh+netYLczvASHjrGTbrAO0tXPYhOmkjTL4Q
/eoheUNcbED4pZ7zlfsoQTHmxsYLnfZ01ai2P0dTVe5VzswzX3VOdmEry8Sp7l28lUuksoxdDKM/
jwbCKnQtb1ZqBawcu/EeHPsjjeYDeXUL101HHKdduUmyfJNlzbSg8Xvtmclan0LS1nwOdJguFcHA
VzUGJgsKiUQuyGFsQqsWki1GnCubLVnBeamX7mMslE1WtLumENCY2vFiiAnZnAbqMeyQdDV2pW0/
eWpHUgYYfZIMyRQJnxqG1tj56VaYzibxo5MCRxAPP8Ma7QFO7M5t7U1amgcjw3FSad0x0YnNgXpf
FeUGtIU9yw33NgqnZjPFyXnlscXVU7BvQvFQlJo8tkY7Q1oCEsgCdP7psUzGVajD2wrqIVi2Trgd
E5xjZmQy3YqY6JfgxXIrfmwNd8mwgR6GT5x51uBM87MdME6MQt2dASEYu+SZVVsPdTOd4tC4DFIK
0NZL17bRHYO+2uZ02fwhusMWR+PL7TeE2x7I571CWozPN0rutKy+VT2bsMB2lVfWzpnMlTJUj2TC
4y1tsD7p9UPOh9dGzHgKXUvkjkvUZXOkdAs9Hg4FyZx0qvyClg/yssapNZzEuDwt+3/ZO7OmtrUu
73+Vp/peKc3DRXdVWx4xGAgkgdyoHEI0z7M+/fsTQ8LgwHPaVLXfqva5OgEkeWvvtdde6z98ZxXM
wWJcu86oDoF5wVyoa6ZN/qtPg6UJoktVsu91IV4LApQno8fpmNIjTgq2qEU/htA5x/llABflHofB
KBXpZlRLBePSG+gaZbUH0hAQkxhTUJAQhRCwcp+Zg6GdmF2ZHPm+PkyFDG62pl8ElnpVZyUWmzIk
4SgbV0/QXogSvJU6M6n84gKo5SA5BEn73JlQ9eq+jtaNK9Ja0JVyZkVZg6Sl78zaUt+4lQwBStO/
ijpkHyt30D20qmbmUZ9JJ02mYzsZFw0WCHEvONg5+42/6QpfP84z6FUWQzFRwsy1C2EkPSLqMlU9
2nlRLYizagBXl1RO+Dk1dblCZEhcZ/oo59vLHDeKdVV1p5malaukpoyDwTOABjkvl4jlBDPXr491
yaUdHGbYn+Jz73SDhYOOLE3wYMxmaZWnVEH96NSgMobgLf0etIWRk3ayG23ovxaOsjXCfEl8Owk8
KbYtCXnpPhKOnVAWUeqU0KXWtc6ucKu4SLVaGIGTTvStRqS3bdAnoRqP+ynehNAei0Cd0givp3QF
10ZuEBAlHtpoz5NaQeHOwB0x7Y/c3FlSeZoFyH5kQ3VMAXjhad4JhONvEKFspR5PDE60SLoQQBC8
wtKv7NZ0dHJyVHgd1Td+ZK0g26B9Ee5WcaG4DKUYewjoqQpgVlsZMGmEEx/OBt8vTgYz3ChyRte3
PJdyaOoRRLUO2Ve0TbUpIW8lS04NeYrDR9RDBxWyy1iO7RpAYjQtERGe9W0VW8Sc+qgV9fR7olYC
8VfAiNITp30NbIfbYVuZId+PInXR231oNMsm8JoFqq/9gtDvfXNy7iDX0WVCb50qu2gd1YBSjqLA
3SRgB+zIUExqghD11NS41PIUa0n4ZOjKYIc17VXHQRYsv9Sd/tJMtOFqcBIfG+y0nGu1K00M6MlV
bwqLTEQ3AAup1I74QzSztfqq8MHJdGbvD3bktx67klct1QYIX9iCXTHjYtrH6bXeZCs4u/POoPla
pnCejKMw77+IXjBrfNS7USX/UkfypVnnFr1HmpmpEBTT1Il6O6sDhGxF8VqhYDFVOjW/qvUMVmxK
vyH0mOiGD+oBjYorubOqC0fWurlZC5Yd1GI/e3t7fpGLjhaq4EFINSwYPApKUM+3f+TEqdy4QbKp
RsWkDjNLvT1vi3L+9m1eVhYe7jNyLEYPy9dJQGUMceh6ySbG4xlEwReiErzh+Dvhspi0vTUSWaNl
g0J+ZIbLUvZAf8l0dJM1keqYI+IksMJzAMyf9VycKV5t11jKJa5zi/ULjQ+WgDrg6i66pGu/87od
CczOEdJkFiWmN+BkSBWfVhq0uE79ygqTTQuWze1RKsfxNH3nsPrCb3AkOBkWioNjX44xYqI/v0tZ
h1kfh3WzyfAKwUFXXSnUMtC2yNk3kN0d1Z+vhCxKzxF2nPaWuAI6MSpWZAQqRTwfghjpZgrvlG+s
i4RdqU4bePkSnEeQM7YGrHns3218wT/qHOjprcy60WME2Hv8zD6j9rANq8gGHewvhhY8eSnpMw8T
FkxelRuhkOdA+4CrKJDCe+hAdprTx/AARrAVkdp4Ol7c8i0tj21n0LHR8ILpjOgErQXsm41eWIpS
G5yAAYsnQ4d9HwUUH9kL3Ook3/3q1FJ8mbdALCzJReEdJn2pZ9VSl3CbTdniJMikfWCEs0yUT4FT
Ym8+UFmQlOjYEbe1Oq81Y0VcvDYFFB6MVlr2gXoNVMajcUQnIwNVrwjidFBJPTqW2RQtAM78Qrws
KpTzY6k7ohizDX3Zu+kjbSHqeTw1Iu9ETimOKGU+h7sNiF/uPse6Hm0sSvOSPnTr3CjfKRWgzPcs
ab6fDyzIEThHGdS684N9UlME9Zhi/a5VG0OSt4pVxtMha6KNjrXMhHj63S05nQKttyW9m5r+ndVi
dMKo0LLxMEsHy3dSCcOEHuiJlppXipp48zLW8nldi+qKo2ENFwI0eYNcx0xM1Xgps6lPW8kflQLg
QEBm/4yuR0ILM79AZqqz4dkj893WSLtkIG6yfK7HA+c+fWuNx8xGSg0I+PIXXe7JnXs6tpU0pctB
pQUl+0nR6le0WletI/9E5jdEzJswYEVLPekuHSs4NprCzlPlggYxM4TeSy9faE1zEgbeRe5rn2PD
Wuh9dYW5kDohbxRneg6r3kMsraxpSJpjZ04JhKnoyOwcurAVmBN2ZinXkiJcSV6ToyFBdcpD670Z
hG4idCluDcVCBC9rJQ0QTXTlvWaqhhgUm2a7NnA1aqWGilGEj31UXSpttrHMblWm/ZaWx00OejYx
9Bm+jCdhnUzDJjxNve7YSPR5myITYqCu4ifYK1n+eZgJ4Qqi2SwtMTSInGmckdCkusu5hMXYCNZ5
m1e/fENwaLKJtlpjJ1fVoa2XWHq6lQ1u7lgvlQVKxbwlyY3B9gx2O2aoYe0dC+gFhVL7LU3R+xf8
M/QTJq4HRzkU1jG7uNe6NAjx9MjKeQ4K2Fqp6lSS2DUjp0WdAGGDIs6mtZAHKAkAUQLqNqCSbVh+
NmkldwScEnQHXK8CifZea56B6V2i7E4bND9GCp6st4oEBA/GWmFkHKluu8bxKEfqgUYrfUjJbqGL
ehm9s5JTQqQjt440WG2MukBnujYzwpY8ZhN3c72fp+rSMZpvmSjQnhNPdK0oZp2jHgdei+SC4zjr
Wm4Mu8TKFXl7/O3bBp878oZl2qOlhiDSsmjIQowURC0OYvhWF9I7W9s7K/WuDPlkpcqe1dPNDeuN
zr7flCe4JdhdQ1O8PQ2LE2DL79TAXpQR73aKJ5FhBJE83Y9kz0s4XRAZ0vRWMn423efGOk7cq1Zd
vrPxjXvOnwLqfQwamdYwx00Da7pxZ3zyzdqyAk4tNt1mkHp3lvnQ/31HvtRKN115KeXbsGvWWQZ0
OIV6DgzK1CZ6kOL9GdCZbrmuDSn+F+CMc8zYzEmj1F8FPz1FvesiIn3j1AOEU77oXBQGksqd4+n5
PQnUb4IXZZ/dOmwQrveqRazVaw2lBxKLWS+JLfYOziKpFOMbHaaLDPUOKilHtYLTpSKvB7dfaZl1
2oYo0bNtG6hZhHLCYhIAIZh2l0nf4qxA6s5ZtRkuuRH4b2B920HsNTtq3eu8swrkCJwKf1XFfWdU
n9dbXg/qiwpjqKsJJsBmtzG7797wozffIRW/d/1xuj55aaIQkSNjWg/f7iILoBIpX96ZFm/PCv3F
/KMGG4qh7PYbTT7z1dEVbyZ6/TuV5Rf1y7tJDjrJRKJUhyavv5h6nVG2Xokq08aSbbm6qdqYnOSL
3xnvvI07jvWfOX5X/lIMA8Mqil+kptKLG/WBT2d5yOQNacwNm9r0MpoDzJ3RJbe/TZLJtxUCEcc/
Pvu297WbbWGc/2BFl0tl9faoymOd7c+DvN7wXySAVuNbmeUSRqp5MxVtkB0X9SI+h/s4G1kXc2nB
OM8lu5iA3plZ06yZqZvk5u2nuONrv3yKp0v+RWk6wgbClAvG/apbyTNjUs2tM2NyWqoTb7r4ptnH
OMwsrI0375bJhba8dKZQEJfEvcmwSNGDnFI6m1pT4bheJovyFCcRrCGmX9NJvRHtfqGtrFW6bpfF
l3h+8fajv+DPvF5YLwZQkEs/ynAX2mgTdDbn5S1w0ktpikHt1Jl6U3+WzOOjdHF2czyrV6i/dnZw
FEyso2ADdsB2ZpBXfjr217ef6q4N+MaAviQ/+H7aFIbOU3kra+LZwzJeOJcJqmGIvE5AcEyAPk+i
hbnJl/J3Cmmzt+8/Tt/Xt/+zjl5EG0KN0JdZ323EIZ0ZbbsecPBqajF9Z1Mao8pb93kRdUwshptm
QEqQnHrStDdit2z1Hz1YPRERsWz+9rfaHeN+f6uXFWUhJvhreVBvPOBZPdJd7vl+N3hx5lM6E3ks
ALabUFvLAXVAy5i+fYd3XowxhoMnYVqIMzMx0NDZpNmmBFKeydA1zXfeynvj9CK4lVJUBo0RVJtu
fCsIC1vdP5dnANvxJ1AbLyZYDb6qTsq437RNZ/todOJDhBj424P1zuwyXkQl3XGFnuIcu0Gn26qV
zMKoOlUQczL6EpcQedNAbHr7ljvfj2aBZqHPMiqZPn8/CKIqTuZX9UaNfxXBHJE/inyLt++x8/U8
uceLRRNBTRNyT+028Gep35/H8TtVhfdu8CIkDmHcKQFa0huRoE0xOlSid4bpbn98a+G/mMeeT9PH
iZjHnA0mue0eYbZ2whGBlrrtzdzTehKv3x610SvyzVgzfusnSwdrJMCZsscedUVhGKU7G1LHBHDe
VjoeVs3kDFYkP5hos9iWJua5MPlczcZd/ew6P1OOOLUDG5v11WSZ2N7ivcfbuZE/WRH6y5njF62I
0mG1kU7HjVyYlItIXSWSPQkX6vRbMjkCtr/+Jf7gcFZ86dd41L4TvWCevj1CL957I5S4Clg9ucS0
mQ7T0TZQn1jraPrZ2ujHyqKeXstzZ5JQsZ0Xi2zxvlHHe49wh0J/8pIEqM9q0mbVBgb0pJtS2Qx+
anPYiOv6tltms/jYWAgL4Zd7rdjdIjyFEX37zjx53nd8TAj+7BIv5kmI3bFaJkzNYt7NkXSZ+GNW
twrtS/QVVyvU/ybDpoon3xDBncbzbGGc1ZNiWs+8FUoJ3yP7necZE+NXS+XPctfG530yJKZg0RtK
CCn5DDbMAveybj7Mh2N/LU1ukPSdo9S9ypYU9Y472/gyA/DDK6oW4fzCn45JwkNy8NG9+8VtutnG
t+XzXv1Bt+6J5r9LvCNA4KG5P36N//yPCx8BxD6td7T8+bvHrj2ESVCDYw8emoQMluhJ1175BMgR
kDH1eVr0Y4B6pHHII8tS1kR9ZBwgjMQceAA1wvC4c1kwccsR2Vcs45907XEgfzabOLioAOIR5h4B
ALDW9TEGPJlN9GKoGUNTO+sK0ZgnjdqCvVaZ0mq7pHfGft8jslGLrchOqYlrMYolPAiQfkRQWEyv
fCzfTqCLdpNSUXJ8iHR1SZO+3LShk/3MqrF3GkFZ8iKjB5YOOZ1CmtAq1EmF7qws4uoUbX71WhB1
mtv0KCA+OxJCmomTbEI3s6BeeJ/7LtJOXUkSjmS09ReDqcdfKrPXrrERLS5aWatPqtIzVpTO0nxi
1LgASFqffqWOi9C0Usq3NNSiK02MkqWrlfjCZ065bbDuwVPRRJyjsNqFEbQIdHpNdt6iyhfVqC7T
C82mTSupzSlmdmpzg9Ssp64l1Nd62j9pWNMLrGBiqa4VeHinRXAIc6dMilPDyxKA1lLn4bhqUXii
4Amzo1IGo92YsBGgz8Hv6lTw861pgLFqaLRNNfQL/bUuJEg9+3XU/0BJOI9BNFtzGqLdtd5GyrYX
DC2l6qgnc9fTtaO+1vuLqk2HLRi8saCLVh+lNHDNvgttwcka9wczybfFZBi2TukNt4igXhVCPk9c
/0gwUhxPJb2xW63IlkLW0t8ypbpfhDS41hTY++Mw7bKpRgMDYx5cNiMEEl2fSnClZEjLIPqDiek3
1fCjVWRJX5Qw95aZkMPJF9tmopkFFfig1C9MyvarSkCBKBNxOu+sXJzGcgrhEcYnbmOlSARpIuuH
YLTCkRJVmFp28WlgSsK0qJpu0QhC2c3aKMe9AinnDGxmivBM5iSwbUy0XsVB/+4ipzEdLCP40jkh
BeFAhX5KNfKaxjy2XANCu2U4pNdD3QlrJq9rK0bSngZu4Vyh39V+SYICPdu08y8EdCnPvAaZjoQe
WDRNVJUyblnC8W+g41SzstPKqYvKsGG7iaYv5Ua+tegkQR85MrpWOUdf1gR+nurSLRzOYZ77Im5n
aJRPqpZK110I+r9YPGbOb8TiNEnj7Y5IzF/9jsTyJwWeDCHYHGU2RhL6E3i5hmoGfX8QUmPr7Hck
VsxPJpgqoi19OxbPU/yU+QmxDUI68Z0YihjbP4nEqvliXx/h32PzDtEwwrEJjOp5JEZyGgQFSvSn
soLi/VwzwaUocMtvigA/F5WFJ8ZOuASwnNiBZH11KiRNnQIzVk0zflRxdGHErTUBpTWtqwrKZub/
APiwKpv8OBSQ7yhg90z8vJk6elNxFJG+Y8qBgYqMW2ic56u8YR0M/qlSCSskdk9KNDmkAifNGh0k
u+mHdGKU5jLxg9lApDJgnVWtntqpMJyFcODHVvdnkMvXFp0HyGnJeR8KEj1s4VLwfHRuGtCWue/P
XeAFUXAV+f331hVrxD6Cz2VBZbbISxtljDWOndEMlfhFn6byiZipp54/0MWU1PWgZZsmqddm6fzM
rHbtg3mUez08V7u8YQU6J7QxaArKwjW47lmJCf226NN+0oaYoZfFV18Wf7p42E5QLMlttCC/dIbw
s9ZQKkkjaxmG5kkfud5M4js4YnjiD9m2hBY7b5zQn7U9Mv2enGuLRHOwOMaxoDDjL8SfU3pH32Md
SntoyMedmS8qNUwn2HYnNMekuYlXTe5op6FMA1Jrh2XdStSyBsBOujWvRyZx4y3Eymzs0gzOk1iE
I5h0x7C2j9vSpBDuZFe+hxczG0Iwya3wa16ypYZhdaUNyNXrwKyrMv6VmsWJLCnusRe6IDVVj5q4
Dr4GBxrOO8vSgQhf5u6lHBWIu3ijnDwSb61eZzMEXn7Cqr5wnX4Bja+bxWl81KcyGBdFuO3UbD2w
5ehB9Y1/WyYp7V+1Mc1ZKoOw8oIK88MgOra6+FI/TqUQJjEq0zqZzRTWnjc16vJXLOXLwChQtEcI
Dqi6i7xteCLV+SxLwYCIYdPQwCovpKZYBFp4rfbSwnJrd5KZ2roM8CGoUvphSRLDCvD6OT49c7Wi
JjHQluk9cC+0x007HIqTzMI9IojH+nuvLGQ3XYeaOo8s/AVCqzhXw/Yo8OgdeAW5vcXYq866Qswd
yjr65De1mxbfPEpEaPRbsKt1GGif5Yxzvjsxi1g4FzMr/0x/Mo4WUufPK0Wch4IHgVR2foUuKtwa
Zoketk+JiAGtkXRfS734UYWkCFmanhsuWDAvPJewozSRPrfBcUyzzqCTZTRTZGKKuUl7hsa0ypfL
ZuDthInSBUuaUFhBO2RqVmQMOHuXsZ358bRKu7mi99tOl6dQyb+bDh1Zq//Ci6ZJEgir3heOk9xb
eKGwSgD/IfJquwFGAYKzDEA1hibkxM5ESE8djhSUuaW8mHoaHViZPloTs40pPtupjx4dclcTqzMW
LTIAcRbzQr5WoxFKV48a6XaDBwLcCncSJgZQl3Lq+dZVHNAELAvvuMkQlBly38LrV68n8BCXJAIb
yKs3ZYu4Gb4CfWeMJlPWVMn6ExqYq7Yg04hlaIiwu3i3YPsEGCRlcVMXzWnQmdMyUC9F342xGUJQ
KzTQfNOSmRqyCkUkx3IYnHMpFC+02rkFmcTsbMhFLNdEZKJZSq7R2UKuLVUlPnPEoVl7GVYsPpL0
Joo8nlqftEayxtwrwW8LirNrggqATqubo54IsBNxgT4f+mnNN1HOVqNnNS7txiwMIuJflwhAB9LP
CnAT2x8K3CFcaLbBEhLq6ES2cfThMqeYC8bx3JHroyJvkLTT4A9b/XQY5LmuFzMFHw9otc20hFRJ
FFbmllatyermJtmpbfUCDBbxB/V3MG1y/V3xMVQiPVZWYE3PpARrX9c9lwbz2DL7BlCX4M/1oUUu
A38r7EVt0HPBLBZ8a6W4Wg0htTtTImEe4p2Noe8vaI7zhNZuqZP4FKYw9/08sVuhOu2r7KwyzC+d
D4Qw1jREGGPNQjhKjq5CeOIATJtfQVmvkWL/GtXJKqjSY8+CRlgX/uca7SLZL35pLkCoWso2XsdZ
Oxi+hJIM3qQJvxKBZ2WinReCA1RWtK4FvfjW5d0aYlA2KevYsJXMtCvJW8uo0nsd54XWXatVRRhX
+xWSJHinITOJ1Qe8yPArHM82nIIUlubCgF23iUp4JPorWQsDIAXxMO1S76dKs3HaN2kHNE3aWsNw
KhWAVUkX3KlL/7orsBN2lPyXUTUhcpIUrXyDcNl3yRTn8W9pIJ+lsfxZDfGxalIVxEh5o5nytAKP
Zgj9aal3q0EmfhWg+TAXT750vfA169LLyJchDiTKNItQPjH79rQJsbEAnXQxJJkyjeqgPi+qwMfL
AASuOnpO6E4Td3YsoXb+TrlMHiuwf8oOHBTh5GFejxMTej0iVrrP05Myx9yytxTrVLqIJ1dY2J3l
Nlg529pefi5PkEGfpXa19I+1BWDfZTr3jjR3ienafbHz/xLcsS3+9wT3Oo12sCfHv/md3kqfSCEt
NOkQVEJsifTxd3orf0JWTsRqF7uSO4W5x0ID6S1lBgw3x5cqjVLovwsN/EiRFJC2dDRNfonKxQs6
wFv0ANl8PX/QK1ZJWDkmwRm3XhQaqoJDdSQHYGwrh1BoYk3nFJeVDJU6kPGiGaCCXyL+GJ3KVRxf
lLUDUl+UCPE4k6NgRwPQSuGX56qyGQkNCMkx1XsjuFUGTq4V2s9rIDw/rLrNLtOecBHmUXdmuW5m
k4MZtlU76aVaNieFWNORTKxp43vpaeziFtS2eBiyAySLGgjfzG3gGpeS9AUxo2gZEeZh2kPK1+qV
0puXLtzveacGUKHw+TiN/C62UQMEXq+3S2v0YRlk/0uutumJhwrTvBqs2hZCAB0SQ3BKrduZY/Zg
YUuVjmGKqiqIV+QpMsOaRq6CfFsyAL1xjau0zMaCTICUVB0f1zlHcovMFqDKpEpr20K9AEoCeke1
OgsNV5zJbnMUFsK6Sc2vjOZJmsI+FyuQPKlOfpWE3netUckRrG4CoO+bi8dToSXRLPPcduK4/kWl
sjUS9HWwUZKB+p27DAeoBYIe3+JsGCFooR/pBVYW1ZDU0O4C0EWChjyHA1ELpOw1LzqwLT27SAVn
o1LDQIlpieEZuVmm/HT68kwok+Y4NM0CRDwYjxykjjLg7TA4w0ZLeaVVhllE356FsfJDVopvQxve
CA4Qz9SDNh91pyjq4raZSRWwQc7TQiuvgEMCvKiRDUFt5BTYNnrH8RjtSUa7mCyVXsxEk7zrzB3O
VVVdBzlgIgEPpEmThCDynNGWCwkT81TpxUD5MQbDfmVghDIzPHctOOqANYxUIH6gwbnzDO1WIP30
axPotdCzk476uahyn4hNdASfs5gYGjByOZaOFUMLKPE07Bai5E1dzfQXvRbOzBwEVCkM8udC0xqE
fAsgJm54k8uZChjS72d+jJ9nitAhiloBOdvAIPuls6IjS6NEI4drWeA2EM2l4mafoyTpmNnqqjOt
kqpMLF4mHrBXR1WXUpp0kwI/N6BYejyVndYeVNwnld657Xs0CQRTW4WadllUzncZHolthIqN1NpG
LbVo1aoayV5bIwod6SvBLNRTo+qpy1PesTPJ19kO1YsmRCvJqbRjvF/gr2JiZ4uCdlRQUDuS+nSd
q5G0ylOft1QBSVCuSsk5FVp3Tl2mQ6rFX1TQk9lM42JR9iFSyr03NfPohxdpGE1lLHWWSZYZHQOL
d5NXHnVGm61CwTCnbJXSqcfRburU1A0RcHaxQzHDSW06myYXkJ6wdM4DiCxHScM8x3eUk3J33ksl
RpN5Bq+lH6BfIEa9FPMKWw0Myhe961hTEdDkKsuTteuR1vVurRyVujsc5YEkLNQUOHGaZ+e6YBXz
IeyPBNG9yoRYOZMDQI9Ev3AloC1nI4l8JKCJ7XYuaIEgu86NwP1VJjCDPJbxuREEtyCfKhlgnVIV
/98UiB62+J1Eu99byfjTO2uQy/QVG+/f+qXHPWr3hf4Rc0+jQvNsR757sDvu4JvXibZwDOuftAgo
1lMhGpHYWCOPH7ZX5E7chx8LkiyjC4vguzLCn7jXkzH62yi8/QVfkxpfX+fNh39JXxyRTvsNwlhC
o7CFuiOatOOHzOT5IKApaSBVK8r3g3R/x//loXhaS9SQ0/0fjAJf8/dMUIxP5FkIstDwufvwvp8N
AuxONC+ASJK/3X0Ocj4AqPufjAS53rOhMDF7IUMcbWL57FgUMlRP7BEOcgzIsnnivdeEIVs6ueT9
EIyj+mw6yEQOHNXVe2EIUTzU8CDSfd57KDgSoNWqjZOLD23QZ0PByjD4UMSm836QMXKMaHsPAhbI
siQjkXv3GVfMs40ChrdJS5gm7YEOgrr3ILBb8o7hiSE2uHsQ6OCYAKnMsThxmDNh75RhPHaPx3SY
9K+ngIHkIuJD91vIoYYEef8xsNDRJxIYoObuPlzx+WpQPsnoJCmwDQ91ItzHqj/aEv84d1QsviML
nsD419Ug0mzQqfUc6iDcb+D7DQKaSIiL/m1zAF4zOi2gRnioy0F8Wdf75zOBRjMlPUBCpATj5+UO
ySkCqWa62hI/Ocy4eB+w95gJqvQJVVAC4DgS4+dV1qiyXlRlNNU60EFQ9p8JMogxTpN3PM5nERFX
Eomd885a5G54DnQMRtTFnqkSgn8jikMTH3LnHath1IjRESY+0EEQ7x9sj9Wg6BQWJF2jznv3tl+d
H8ak2cRuxhyR1ocZEvafCaOPHsUT2O4v8wMCIm4OhqIdaiwY1Y32WwdjbQnJBVV9/e1VYgGtG47Y
95PjQGeAsv8xmlhAJFBlVb7PkXaUltDSRDDLuk+iDjVJkPbPmdka2BZwHn3ImV8OhaR9QruUiMHh
Yvwc7FDsnzTqn0wRJTSKin8Jjvh04f+sm6OO7EEGR2nvw7SifYJbNCbO9697fN/PMwbk5MilUPc7
1DPUSEnfL0Yq2K6ZItDOhzF4PQgGowSoARz9oc6E/Q+S+ifeMQVVlTL23ef1TICrOxovH+pMeEhi
9kmYmO2ERkOkfHL3Ico8Ww5jJ0bSpNGV90Bngrz/TDBpQgDkwELt/vPyDEXWiIQj3RrxYJfD/gdJ
LFKoNQNpuZ8Ir9tRlFpHwDcniEOdCXvvDpymVUvEFxqlrrvPqwyaWix0JfSX7u/1v9yNY7W+bEw+
BKt9YoL6SUQdE3fuh8D48iSJnyeKo5RjiRvj52BTpo84T9J+4LjEsfrxqz4Pj7gR6dSY6E4e6KJ4
RRD5n9TZwIbjuys/9B9eptDsEZRfMBcca/MHmTeOuhF7pkzGJ74e88B8iI878kaY+obJIN2HjkMd
iv3PESSHom7pv/fLl/GBJi00Huy2gBuOn0OND6OK4p6zQkdgWsdbE93pu8+rpSF9whiD5t3BNu0f
eob77BdsB6MGNYnyXwZhNDAZ8Tzm/dw7vE3z4ay3zyCQIurySBh+2Cl2zASEBpH7sg42kd5/u4S5
PYIzoHTfx8CXkYFyvKnRqNUPNiYo+4dHk3Y90A0VXMLd5+VpYqS+W+N/lCHGz6GGx1Fqb8/waH2y
8DUGzvNQjn81FLD2OVNA8j/UcvzIF9hzECjGoswPcPovEDe2SwW6JUou9/c6vPA4uhbsOQjUHjV5
7Fn/pdgyLgoRLoJ0sECeURFtz0GgAQEygWbkQ7Hl5R5BeGSiiKBC7251eBNBvX+w/fZJSquorkM0
v/u83CKYCNh10L852H3ylbHbPz9RGfSogEtSaL8fBIb1+bFyZCaJKDMqhzoTRlWWPVeDRlYo6+RE
DMXDPvh8ECg4UaAGw3Kwg7D/crg7VsIUeYyLr3ZIcmfc/0gXDjVNGL149pwJ6jjbR2TC37v22PRg
3Ayq6+5zqOHx/h3tEx45W1NYoxr/EBl2hEeihsQ54lAzpocH22MQRkwTUrEEh0cY+OvwqAONRgfq
UDMmdf9jhD7ieSRVfCxFv5oJiGHRlIDbeqgHylGCbb/IAJiDvrxOOfovkYHSIzBIkkaMSh72EO54
gInT/skjqB4dYz4A0HffdFd/hh8SRs3DxnQ8JPh7xAew4GOGiGj6Qx5N2H2eObA0VAwMES061J1i
//QJF18VoSVN/1vnFvqYOPZpRm29g1wUDyi0fWYCPXxFHNf+X87WY+fWGjfMh3P84UUGbf/IAMKX
dY9r519w0HeDAP4JT8NDnQn7V+JNKvEAm6gyvwwGZBPYQ+LdcagZtHYfpfZZByMzRALEBkTh7kP6
8TwiwgcAwmHSifj3p8C/sVh+c49tD+/GO2qyf1s+8RF99xceebuvL/CktX3HNH32m6PJ6P217xvg
4///13PP0bs04MlPH9OCuzs9/P3DV3x982c3e/xej/+49G+LbXHj9Xc/6B8e9F7+9L8jVFB/bl82
5seC+OO/7TZI/Z0pvX31zE9uHy+0+vmf/0HPBX3RkW/456u+dl/99y4eb3+mxeOFnlychbP3xSeI
6+16cGbq3te2t9G24ZWUj9d68uzM9/2vn0Z1+eqVMurE7g+4eFIV23/ZaVntugXhbO9bTG+jf23S
Yuf4E3v2vv4s+tc0LZg8j9d6Mv4UNPa+/ry4LZNdF2c/2/vii+g2SR6v8+TBP2K5Luv4Rxr9rF5f
fgS67/3oqzi7Lfxt9HipP08/Aqf3v3zS7xh06SNW7Pq22DHmI6hq76de+4m7IxBIH7FWj7fhjhg2
wjD3fuzjbVne7hqTj1igx2n5r/9O3NvodtfIfMQSPdn+JAA/jsOTifgRS/RkW/i7huYjluh47Szd
Fd1H0NDer/XkNvmZ3vi7otdIzfyA6xc3tz8fL/Rn3Ee23/4XT3n2x+s8ufZHLNMTpIl3XPojVimX
rm6L237H5T9ipW622Y6JPuJo9h7wzW2zfZ07asgKfsDFT7FKdHeEr9H8cu8nP4u2N7c7csexd/MB
F6/jXcndiFDY++KffVLH0v+5Y2RGpsXe17/Y3hQcCZJqx3Qf0SYfcIPkX5PbxN95g49Yqhfb8QZF
si1+7gxkY2f8Q77F1L91d43SR6za8UvMWQE3fnmz6x4fsXzHexyl27zetVuNtL4PGaXj2i//dfrD
L7Nd3+MjFvP4PU621e2u63/Eeub6mIZMtsWP7a6cYewofsRIcQ872n2Hj1nY47ewi3p4fNw/W+TY
/9n/K3jbnWfCUVJm/4tTw9g5+B+ymN/2gEkQguv3qIJcpNF2V/Ywlvv3H5i3PBP2fvJqiwhltK3L
xyd9Mmc+ZOmOZZYd+/CI3Nl7aC5vve0uO4mx0bf/xcnxmRaPV/ozLqPe4P5Xr4kEO7b4sQfxARen
QBTvqsuNbYe9L/+VK9S71urYO9j76m9IKO8726/rHzsy5bHc/c5T7yrL/m7rvi7WPqo77vqz57Xo
8Tduottt8V//DwAA//8=</cx:binary>
              </cx:geoCache>
            </cx:geography>
          </cx:layoutPr>
        </cx:series>
        <cx:series layoutId="regionMap" hidden="1" uniqueId="{00000001-C66D-438A-ACE8-48C289CB23B4}" formatIdx="1">
          <cx:tx>
            <cx:txData>
              <cx:f>_xlchart.v5.12</cx:f>
              <cx:v>Sum of Amount</cx:v>
            </cx:txData>
          </cx:tx>
          <cx:dataId val="1"/>
          <cx:layoutPr>
            <cx:geography cultureLanguage="en-US" cultureRegion="IN" attribution="Powered by Bing">
              <cx:geoCache provider="{E9337A44-BEBE-4D9F-B70C-5C5E7DAFC167}">
                <cx:binary>7H1rc5xI0u5fcfjzoQeKoi4bOxuxBd2tu2TLHtvzhWhLLe4Ul+L6608iyR41jTwoYjrOeTteZmN3
R3RCwkNlZT6ZlfXvu/Zfd/F2U7xrkzgt/3XX/v7eVyr712+/lXf+NtmUiyS4K2QpH9TiTia/yYeH
4G77232xaYLU+w3pBv7tzt8Uatu+/8+/4WreVl7Iu40KZPqh2hbdx21Zxar8xbnJU+8290mQOkGp
iuBOGb+/tzdx8CCLNNi83z2Hfn9/uSmCTJabd7asUtW9f7dNVaC6T122/f39zoXQ+3e/je+3p9u7
GNRX1T0Im3SBGUbUYkh/PIz372KZes+nNcPgC04wZYjq/PH4cfOrTQLyb9HsUa/N/X2xLUt4xMf/
nbjCzvPAe/nvjPdxN7yXAQsPYPn9/ec0UNv7d7dqo7bl+3dBKR9fXNHZcnjoz7ePb+m3XTT/8+/R
H+C9jf7yAvDxS/67U7uY/h3e8l7e/fNgY2OBuc4tbpAnLMkIbKQvLIwszA1zBPNchV7BeEd8DsA7
AkeGrqiU2v7z6Jp8YRnIxDrg93iwMbrGwrIwMQwEg/zJgjwN4tkKTaO7Kz4D3V2BI0P3v8nmXhYH
gJctTEyJjhge46ovKEWImzr/YcJfojtfoWl4R/Iz8B1JHBnAF7J899/U28bb8gAo44VuIWQybE0P
YoMtEDbhSzDoFNhvVG4a8amLzIB9SuzIsL+UqTwA6ICpZVFG2BPmnI5GODhhCDHGwQfbtdxz9ZnG
eUd6BsA7vz8yZP8bgz97fxgPm+mYIUbMJ3TH4CK0QBSBaQfffcduz9doGt7xI81AeCxyZCDfwvBN
DoExW2CTE04hSno8wH3eiaIAY2pYBEOstQvyfI2mMR7Jz4B4JHFsCG/Sd2JbpJviPjiIqcYLQ2em
wUxzGmmDLhDHOqcjS337ZsVeAXz6OnOAn5Y8sg8A5ii1LbbdAWZpsiCUUGrqrw1yY0FgjBNzbMnf
otM06ntXmIH3nsyRIf3fOAvSQ8TRbEG4aRHjtTgavDEKB3hsI2M+X6NplEfyMzAeSRwZwkCJbupt
sTlEnMUWBifIQPR5MIPztTtj6wvCdA58CpBkL92yNyk1jfP+JWZAvS90ZGifw7R9AKttLUz6SIqR
pwl7guDWDQaMJwLH/CXQc/WZxnhHega8O7//H4Dsr1XceeCB7AYS/+ndTuQs3p6yAIqaEG480V36
BKLEAFfcwMZTxPXj3k9sJwykn4mW13WaRvWl7M4zPj3ir1/K/7g0xE1cQYLsAGMSckomoRYynwHa
C4n1BccMEhWmtYvdfI2m8RvJT0C48ydIvY0kjgzh62IDTOYBEDYXlBuYMfJKLgLCJGYBYU2G0fvS
6s7XaBrhkfwOnNPJxJHEkSF8u7krgNlK1WF4S4uCr4zBUXo89sbxkHAc/oEJeDhGWL9Nt2m8J64x
A/MJqSPD/dPW3xyC6sL6wqCEQJLi2XYDz7HrOAOdaWID8oxPFQUjzOfrNY33SH4G1iOJI8PZlnF1
kMIQSDkM4Q+EwU9+816AhBY6MGGE49EcPV+jaYRH8jMQHkkcGcJXm2xzgBkack7AV2MoBnjCd4Ky
RgyYTKgM2p2h5+ozje6O9Axsd35/ZMjawFUWA7alOgzCQ2DLTZM+zc579SBoYcDcbVEDzrz0wd6q
1zTSk1eZgfik3JEhf+tvDoI5zM7AShKTma/RWmhhMshgMDSiteZrNI32SH4GziOJY0NYbdKgjDfV
IeJnuiBYp8BRPyeh9uZmA+bmoUyEjkY2VES+QatXkN6/xhy096WODPFPRQBlpwdIPMGgpsBOWtR6
LtvcC7MQ0CW6ZYCztmvI36DSNNbjC8wAeixyZCh/q74fYq7mC2ArLcuAEp/HY2JEW4wSBrZ9F+K5
+kzjuyM9A9yd3x8Zsjfx5m57mMJNqNwa2LBnvnrP0wZrTbFp6OjJTxtVDszXaxrjkfwMlEcSR4az
s43fXUlY0PHPB1VQYE8tDMW4g989HHuWGkNUjU2o9RoFVW9Sahrn/UvMgHpf6MjQ/lTFm+IAUJtk
ASVAA8f1ehYKccaYYY0s9nyNpnEeyc8AeSRxZAjfBtviMYqu/uGlUbCegugmVG4+kdf6nt3WF3BS
h7LdJ4ps5HzN12sa55H8DJxHEseGM9SvOcHWO0Qi47E8k1ocjTkSyFMZEE5Dvd9zPf6u9zVU9c3W
6RWY9y4xB+k9oSMD+5uMD4EzlHZRCgkpHTjr3awFzNwUFlUY4xBqriLT4O5Iz8B15/dHBimMFaA5
xab4vjmIucYLjMAYg6f95HuNE1NQtkc4g9QU5Cwej72h/Db1phGffsoZ0E8LHtk3cLlNYWXrYSqz
hxB6cLnpc0IDpuPdIW6C702JaQ5e+Uu6+01KTaO+f4kZiO8LHRnaT5+0DQ74ISgTCg44prDq8TnW
Gk/dyFgM7je2xgnKN6o1jfjURWZgPiV2ZKgv43eOLGAR7D8fX5tsQREnUDj2bOLHNh4WsEOyC6gW
8NyHY+SSv0m1adz3LzED9X2hI8P8NiijoJPVPw/5QKmYBiShfyyf24McLQhkQix9zIy+RadprPeu
MAPqPZkjQ3oF3TsOsrCKDDgToMBfd98os+AfY1RvMl+jaZRH8jMwHkkcGcJX23pzkIWwUFFEEGWm
/lxRtMenAA9uQDkR5qPc9HyNphEeyc9AeCRxZAiDE/JuBZW/d0F5J3/4whOF+cBRv7WZEGW6TsHt
ep6fxy44GmI0sObmKMexo9GcSWQa6OnLzMB7WvDIYF/H2/QQK2yAJ0WQfeZDScluxAUFRpwZUKgw
ynbM1mQa5l3xGfDuChwZrKdpdwhXmyyYjgBYoMuejhG40IgEZmpCYLD/MCFP62vm6jON7Y70DGh3
fn9kyJ5UyXcZ36s5BvFtlnooKWHEwHh/zMICd2JAUA3Fn4/HLrhvUWka4L0rzAB5T+bIgD5Nsm0R
bOJ/HmgTMhuQ1bCG8oLHY+x0GRZkuSxwu6G11HCMIua3aDaN994VZuC9J3NkeF9synJ7gKkYhjVU
EUGhyXMzx6mUJYHTGGjy3XE9X6NplEfyMzAeSRwZwufQPPQQlZ9QdQBL1hH+0R5szIYMSQ44B1X9
I4BnKzSN7674DHh3BY4M3SFcuKiC8t3196DMDuF9WQsElBdEwxBPPZvlXdca2hOAwYZejhOR1BtV
m0b8tWecgf1rosf3FQzrNoqqP8C8TRacwio6/Uer1r3sBiy/gpZwUH40Ikvg5b9Bq1exH19jHuxj
qeND/N0l9BQ+xIh/bMRMIZ/1XGiyVzoI6yoRpLM4Hrlow2ibrdSreI8uMQ/ukdCxoS3jzUGo7qHd
I+SohlZS08YdxjbmUFU27j1zO1ujV3DelZ8D8q7EkSF8uS3uoE+4fYCu6qZOOPnZ0XPPeoOjzqDY
36CTC+Pn6zWN80h+Bs4jiSPD+WITHaIEmMMwNaEPL9QgPB57izZgXY5hGQQWboyjrXn6TKO78zQz
sN35/ZEh+wcU8lQHKS+BSn2o7TX111bPDj15ObAqRB/xn29QaRrf8QVmQDwWOTKUP1XQ5SA5SLM/
uuAMGnZi2Bhhei7WYcEsMgyG9sr45+s0jfPeU80Aek/myJAenNkzucmr4AD0GGx2wmEVJUaQhHw8
xmQolIwhDuQK59MV/W9Tbhr1qSecAfyU2JFhf7m5h2aPB/DGIJYmCJKQ9LnwYK8yVF9A9RD0ZjZG
ZMp8jaaxHsnPgHkkcXQIwxrpAwAM45piGNn6c13gnruNFhb0bIba8NFcPWxfNEuh1/B9KT4L3pcC
R4buxwCatZbB/SFcbROmad0yzecmnkOaaocPhXU6JrRyBdp7NITfpNQ0yvuXmIH0vtCRoT1MSGIL
HQ8OQYZB8YEFHAkY7eniA5iosY50yGCPIqu3aTWN98Q1ZgA+IXVsiA/7Vh1igTys3DARgmbMz6Wf
e+YbGqsPjNleYeDtbI1eQXpXfg7KuxL/LxB+fU+6nxv9ORu1WT5uEfhiW7pfn318QbC34Uj0eaHM
dHHg0yKa0/vf30NxgQmzL1Tm/iwYHC60s8xmGCCPayV/cCG7glvoiPT7e9hwkCz0oUPRUFMGpYQG
kCrN9vkUXVjcYtxkFoftVIbFmiks5PdhG0NzYcHPITU6bFNIdA6d2UtZPZ4a5n5ohcO5DtsYWrAL
x899HG9k3Hky/flinv/9XVolNzJIVQkPZsKVsqffDfqCSnAx2J8JeuvA9wjkz3D+bvNxyPfCz/9P
EIZ+6cfKvAR/I/FtK8qVp+yKWNFZEiRNhmyj7mlRC6xnqHX8tOtvK+k6np96F2YV0k3kp7apctvT
8z9DGhvGTWOUmSfCustyUdYpv06k6s88s4qD01x16BMkhTXr1Cj1QhOca+o6cU33LOqIrpYoikLj
NqA8xue918flHU890lwWZlZYH7IkXtckjbdunQeOTIMqtivMqnCth8xY8ZwF9UeVd+oUx6jURN/7
Ub909a76s8e0igTNff0cVdw9L/I85HaaNv7Sb3luF3mhlpXeBeeW6vCF6/ZZJULucmiKlPpc4Nxt
+jW0q+rtKPWrGx9Zm65L/6SRdxcSnCyh9CyxM2JtM5VsCZeGEnWS4/tGBTbTUxvlXnOa9rq1UpFW
/dkQj4ga6UFgN1Fl2Iw3oYCNLtkXQwsyh0eNe9cGpD4pzRSd+prrX2gRSk4io6BXNK/a0z7L8jW2
amkXda9EEqWtbbHMFy0k+QSv3UsAN3OIYnbZlK7DVHLOKi5tyy3oZWdZ/WmEY18EiMcCc39NgzwR
hYciYXYshEZvVSpoGjkZ41uGfW3N6v4kNvi1GQZk3bmNElqZRMJzCyxK3H7FPnadqOlrQYm1lgZv
YfO81lZ+0VxFZqts3fdbm8dW6xTgAC9DLUPXuhdFt1pjmR9TQtJtqOPiLMmD9EtY48IOgvw+7erw
/OUmmDtD4U5mXRF4/vOupj//9T+fZAL/edwV868/Dpui/vVv660cygDL8Y8Gq/XzV3/trDlYiZ/b
bI5sz9POqq8Ypl+efIPVGqobf2W1nndEGtusJ7EfNmtwRwayn8FWqQzae4Ad/GGzYOcf6D8PLQRM
E+mmgeDUD5sFUQukecBtxUOiF2a4v2wWJAOhZAt4Y9h6FdrnQreQH69hByiw11M2a6j92LFZFiyK
gtp7KMUlQH0Aa7lrs1jr5bxifnUdBio7YzHHl0XanrM0zm2rKv4gSeLkoYpOUknjfuvLMtc+VF0n
uryHoWi08QfuZ6lQUfdBefhMlolc5XEZCKPv4NONDG0dxDUWOPNXXlT7p02udNvLXPjKm9LzbV7n
6SqhWVzddl72jfudFBq0CBdUtUFoZ6jEZ3Wr9WdWlra+a3esC86qOHI65GonSisePJ72dqDp7roz
ZCV8I+KnceXVf2TQheMcBSS6ZGaarY3gNqtMP1uypNNXmcECpy403aE1Tx1p9qYTxwESiHBPFAY/
jyhYsdwzbEshtbLa7IpZfi1qU/JVHfet0FzVrko/bU6KprwyypLbKs2/FY130RnN0tc7B5XoUsfe
edMrX6gQzGDgdrkIGbObqqyWKSAMY15TS7iZ9+A2kvzZ9WHtrnIr90Wla73N/NI44UX10Y/MWxbq
aXWaEV9THwIjzU+sPLPT3CcnudWV6S1ROi+EX7m0FiZ18do0mjoUlms9RG7VnA5rtdZVGkVOn6Q3
XVheEZydpbF/levonCltJcvmTEuII3tvVeap0MPetoLsvknRx0Dxb/9rPB5dHguG0usuz3MvtLHx
AFcFxH4aD1gUgaEPOsY6hsWNQzn1T+NhguNrWubgtbywHLAmDtrnDyudMTLBsxk2Ffvh7UBr/WFL
E1j4Cp7SsBbjLZaDDnH1ruXAUNgPjasQrKoHCtwaeTtamrQkz8vkJjUyjC9LVLmB6KpATyyY8hrE
RdvWNRMxze7yOvmzl72/brX0FsP0C5/m964GdyGrvJPCTVY57OgjFLNip8L0SldGbmthFQuZtVi4
kteO5XX+CmUEBnjmXWmaG9l17Ss7dOV12al7jUSZsHhzjzNNLsFQ2RVPsZAsOG9xHwuTh5dalt8U
urQc6Zv9la9I7SgXztGuuNekkqKoiu91oFZ9EnVrqLL5rrXGym+UIWjrnVCqrtI+ykUU+a6w8uZb
w7TPsepiO4yMW9NSXz3wXtecaWxtAGVx7cFwWwK5qERlRcXS6LwNpb1cl1ZdC8aLD0GAriXOY+H3
6FY3aA5DN/jQIv0s0a0tVsnaLJpNiYNzjLrILjTNbhk6L7iCX/OTRC++VmZwKtuKOGnkfZUl+crD
72YjHchQ3pWc3xWovC764Isl27sIs8RBpt47sE72RgNlRWE1J4kfaCJUWip6rfJWXRTcloF5VWXa
VW/mrh3qYBc7FJvw0Cw5DY0yF5YBFq3R8Y1mNfF5XrqesDSf2l5rnIc+8dahVpFV7sWXfl7pS1a2
n0mpnaEmLwSn6oxJMEs6T66zDnO7i3J2WmQpWneqAd8olE4RVL6ddTFbR9QvnFBP6iWp3XZpVUgX
RgxnaYdOCq/5w2V0FQfVDdGra12mja1pPF8XOLVbqJwR4BSdIsuLRKsaT+Cm7wTRi9NEswq7QJq7
hoHm2o2sz2GDrysfoIBfFt9DrfhIauum8fRTL6StTVC4xqH8nCh8wo02FVFPPqswF3ri/VFKtYU9
ejU76pEUVkWwqHPur1jVf03DPHM8lJ25NPuiVVXpxGXzWeMqs0E0Xvaxli/NOrrtNNQtTUQyYRjy
ISm1xA5kdok7fh3hzhOqa5Fgsrmo2rpZtqyV17RJPBgrBXNCGSDbjfhJo6pKRGbRbpSbhY5eZq5j
FuDCm1H4pYocGgefTWXE8AUGdAljzcG4rmymqFqnpUqF1RTZSWsg1zalft5lzSVOtd5JwsB0ek37
AD6kv+zSvHcoSq6CFKWi01piB6ZZ2K3Xn7qt3ERtrg/f2i02z7TuIdLBIda84qOk5dLs2tDxfbpk
WP6hE/qgG3ooMoofil7/xkt+oTfxVdZ1t1AKSYVVav6SdH4ruiT/6EPb8xj3iQi6Uyb7M1zx2C6M
Vhfw7YWCldguWPeAyuJPT6vOG6k+xJl2qeowWkFs5/RRe2nyurUNvY6ElTZIhFWki4r7tV0o9ZBp
SSLitkFO3NJNkBd/gqOmi1JqkUCyzUXbMHKmqi4UpaUxOw7xV7C6uSBdUYo6JnfKYFgYBAUOGOTz
UivatVdW1crv6zPlmrWNCu8j8dtNGFieyHCEVyov42XmKcMucX5CYALO/aAHf7+9VVZe2W2YLuPW
b5w8CtAyTa0CBp2EIcHIZVwE4VK27pWMzdTGldvaVPNuXRdfy4zfchefmG3HbJIOUUQXf3Sz7Mrz
jHzlKRZ/Be8lsN2mvtB0iuwqHga2FX6BjhlKkLqJVmBWse0h/3ubSiIqHKzqJj0Dg/6xw7I+yfWk
dWAC+JDhGonAspzaYmzt64Fn16WJhUXkJ5elZ75LsB3l8UXp1x8CC6cChYlwA7MUVBbGMvVikK3r
W4uE7KRPq++lDCvBs8IVKEW+TcJcs71ee4BaOJgv/CJYM659gHVQ34kJYzuPKbNxwjQ7bj1PpG6f
Xuk5x6KQ+VeDJa6tWBeLpGuJMFEjhc90w5Fgs8G71FdhoKtVrOT3igdfZAYfUuOmq055hTAAcgHT
XWE3phkJ1ereClxreKd1QE5NsznhHk5E5+MIBo0Vw1uqP/td9KGBOdFWIZPwYkpwxKjl2bHWwefG
aORUIfyNxXVwkWl940Q4vOw0Uwq3oQ3QAE0jtIh8hih6XaTdvSWtm9DLtq0Blytx+JUQFYim0ODT
q9IL6G+TX1Grv4T5vxWUpidQJnyq4qywcYeqZcR0+TWPw/i07PPPJoKBH6fmF63D1xAs3zd5vOJu
+Bkme/08IGUqYP4/LQPvGoLZT7yPTkytbAT161bEFXjaHW5OXMuEuLYrhaxxA6pYtQNczF3QSs1J
CunZucz6VSfZR8NN8qVl+VikfZsusywJYKxU7qledBuiwceg/Bqtooh9alMaCeZqZ4HnbYqQOl6k
QSgeZmuZS5Cn2Y2MakNIrntLzbDusrDFq0oF37AeUBHm5EavyB8Sk7Wbxe1J75kPod5QsLFGJRAq
/CVrU39FaFwJRcpI6LKDzy8EnsEIOi7y3vhGyvqK4yhY9hkAW2hgtf3O9JyQdo1NtHCjp+gyChrf
VoEb2nmdnQd1DK9aFeuux5VdmVZoV3p0EnoQuAfMhPlOASGQIze1ZVjES+hKdO97Wity5hWrGhZf
2TKpa0fqnS2jfrCq5EvCPEN4nmvZSa59gvD/c8G5FGnAbdnEF1VpWMKrmLK9UuYOwv6tIjRfurE6
rbyqtBOdf8ZpdePFDbfNUjXLJNMqOycwnsxarVpPix0UpacaeE4wIEPdblD5PfOSmxbBfA5vC6aQ
8CQnemP3ebBtstrWMvJAdO2TZjKYBBJa2xGPHmiZ+A6K0V3dFeccZnLRUeuurOk6Z1XhpJ5x5qZm
6vC+xnZLoi9ekpR23hbIZhWxQy1Zee53nXkX4BhgwbAmhVGFZ5lVGHZWheEVCuSpmwNFwlj0zdOs
TCRN+MkoWCqySvtIE04ESuQp5s2XFnwuQfw+EyqT6TJXpmd3VuUBu5PD4+A8EKwp8FJKfM5yecMY
hJ4RzWMbxt0DLFhPBHwz7dKLzJVeV1+zGoauXxgfYi8tbPgWLk0SqGVqhYWoouyWBIAR9NQ3wb1s
wU4X6WWLi3RVEHxmMHUXJl1pG4H6krc+2KBK/9zHwVnbxZ8Q1hKnKcGkUv17Xffw8TepKbiijQO1
JhdZWaxSvWVC70oF5lCX8NWGWw6+sV8TX2Rtuu2T4qznaSi8oj9FKP0KfKSjaPg5q7PILsHLoxGY
Pj+HL9PnDV3LOAAlK7rW2+KB+ODSUdl+MxPw+erQsIM4/FrR9NR1XceP0o3Lou+hqq4xzoHOVIbj
Je3KrVOYKc38pMvpx9Y3lq2VeMLN5W1b8pMM81NuaU6uhzeqN+0uMIA4MIEkdONlUNQXRStPqyCz
Y0uv0VkZGp2dexRFH+K0J187GRB2lWtWDX+wVFY7HSN2ZWXa2f/GoE+0O+TAXo9BB9p9b7H/C+p9
SKA9U+/DTuTAEQFZBds6GXSohngRiRoQTFIOzRAJbBjxgnoHGgt2EoEtj/+S+hGMQp96qI2Eecgw
uQEh7puo9zHxbsHtIVCG1YrDRYEw2yWxrBicrNAt+usexhZzRdUr8eLFTBBlwxX+ovaHLp5Qjcug
RxjE4eCy4lGw22cuydrMNK7LVhOFvrLiAFy/+7o++fV9dp9k/z5A/L1MIUjNyPIisIxrC2ysUVw0
9P7XNxi4gV8+yUAIvkhSgM+XosqHJ0EtFTX+TPmD1Dqba9e8qiH00O2y/pZVJ1Vwo6QLs+E2BOLO
u0Hyg0pvvQaMaX5OLG/J3FR4+EMV3jZg9Fue/M2rGNI5v9QUPqyXmpoB0GvgT8C7MJcuePt59qWq
A1sa+LoBqsF1IwgAHqiGRA7/l5HA/vWrGnZE2FMAyvseG0YB2YH0XQVSmHdVrdPuGsKdwLANXsQX
EUamsrsMA+vGH6k4oPLOiraEiK/5aMQNEU0KXk89EHfFQOGhrNLrlfL0s4ZDweo6Tr6ixDxrXL00
BdJC43NrJuHajHjIhMuUSMNwWZDiNKs6gep8ZajOqcEB9PvrmgTLxANSI9dERfp10fKbBN24fbhy
q6+lGwuv/FR67NJUsSgi4tQpKNDIU9OybApERxdmTmR9klmeO8T0RA/BeNAZdmVUF1RPlk0Glvxr
CU45eKEib9JzQ+EPYXgZtsm6ThHEvuDaZsCVLiX/pDBxcGhBeqqF4D/wsIODnDk6S2BSjeJvSoPp
Oekh3rfc0ok8fPFrhMwBgb+GJZBluwN/aOf28hNpAl6Gqi37a31tnrin/YX6Yq6BR7guhXGhTiAR
tWQOkAsr0z6DRMhKOu037TRaqbW+JpfBKrz8tUK7bPr+8IUqwpf64DiuaDJ8sjI6lZFIGwfiwXyV
639jjqa+zJfmaGTwWJD0se/DfYCxiT+197lnB5WNkUPcvxkExu4rfnqkl4NglCDggEdhcmCpfNMO
b6LWqVq78ERTLiHj5103f/doUxYQcv5QXQ1dBiCbO4I0IUlLaWyi6yYsIVD4Xms3v8ZoygC+vMHo
3elpQNPaQ+i6rJ3BQWw0u2yjvwHo724ysrK85aTvGNyE1+d9fqbIJ0T+/PVzTE1JL59jZB47mKuL
IrHQNYKx3caN0MlHHl5xIEkeb/RcLHDzMtP9Mg33Mis3J713GdwVspQP6v/T/N5Lqt2C4qEXb3uv
IOHlZr5/lTI8Sf1wiQxohwHZO+guh+ANw5f6wiWChrNDKyvYiofBZsTDsrznzB6G9VvgRsH+4cMO
xLAZAKD2wyUaqhHggtAnicEmTbDv9Fv4eWOPnuewzSIsMCGwlMyEuubROAJ3G4x8VbVXaWPyZd24
fiakGdLIjmhTfyCa1Z2FbZ1GS12P1Dclga6IcAnkVsnT/MuLt/f8Be3URuwaRjDUkP6EPQOhCANS
GcPy5ZFhTLss4n5VX6E8Na48CG3BS6OS+HZbK8lF3eDqG60zLRBFwqACIg+LCAKJvqQYsvk0vedK
6ddwDb+CADM2PvdAvBnrjlju1ug0o139WmO0a4eeNCawrQp4sBaFniejyR8H1AdsO3VltpbnOaTt
4881LM0zV4p20hJ1B1yjE1CXiZ6SDlIfkW6uk7roDKeopbr327KEKErLLKdUgayFSnwdMqKFFXlL
T4b+TVTxs6TkfulA2ob/Ufr5eRQ3VrsMSg1mp8Kvk/Wvn2ofBthNRIe2H7DNBDQvf3zoF84f7TSv
0bK4vEqVy/+QHtTYCBwh+DSytGpvmrbgt5lrxF9/fdtdawiFMQYkpBg1B9d5+K9BrRe3tfTWw1np
pVcp640rI/Krq7SEcgTm+n/8+k67E+PTnSAlBa2JoIcNhxqh3TtlKe7ApfHlFct0vMkbWcRrFyg/
JKLMX+p5Ffe2qXdM2qFpNcnffTS7k+Vwe/hQoDUSNmEXcrAOo9vDss7A99IkgJqSyNokYWVtonjQ
weqTckkKKUWnA/TrJs6Bdc4jSbcq5uVpw6FMpiVmodtmE8rIDmmafDaLDJmOz7pum2l15oBPmVDb
4hIXJ5ZJ+upvZq2hX+KOPzWgNJgN6IONYLMSDDbtJVA6qazUslzt0qjcZBMUqvSEoUUK8mgm1Od4
Z40fRN89xrOLts+BP5O4DWxk1PRB0b6Xdud71MYyrLdBYdL72sp8+hSsw3QzXbOArT2QH+usYHvh
oZ8rjM6Rl0UKFuiFD3VWIXjhLmeO4n6/blVr8pWqq8ouIPPwoU6A6xE+JBkgN5CuS1Rk6xhDEVYU
58nHLLYSoEjjxvvShMAXAa+iRAa5dEhSRcxx89S1KxmGgQiUGTbCDcv0qsm08jrXwPkF7pyHQuvd
NLFR7ScnFlHxRxR6N16XmgM9SvMr5eafFEo00yE1ghcZdAhsA676HnglFl7EvsW+uXqFz3zCjIve
a2tuN7qPE9jWtAtONVZ0iWg6YNiMBmiUPmzvsjJXt1AVQIGiTxRduWVenWIXoU+5bzTR2qWaEQio
1HK/Q6gMtWZBmmt/VglNnCwr0Wkk0+zUyHl8H9QZpJkyM4luA+4OwWCOvbPCLSogyXKoloBQ+Dpv
knaJmwKiEKM16mUM9BYEN43HcrtGvrtMSrNwqoxf+67m6Q5krdQJTDWosVM9JAJSSvHXNtH9c1Tw
7NYylbWueKihVUmSfsOILJal3ob9qo6Yt9LaVt+gMm4eSi/LLLtHSq9E6qHaW7UqlDA4mmbZeXXF
VoV0fQeq7ZKTFH4qYAIqJLzopAb+twxDzabAoQOlZbW9wCqGVBbkN/8ve1/WKymObf2LuGLGPH4M
MZ0pzpjDi5UjBoMNNmDsX38XWV3VmVW3Wyrp6pOu1A+lkvKcOEEE2HvvNXk4qpTXTbxY/9FEQVy1
Wvl90eFJmg/RbHJ93KJsu025cz19XCBWARVk294K9ZVRFobugzbelg2syBW2cvkltEM3R0AAQbqN
/v3M54Fvl7yd3HHNl5meB9W2Y9GFvXz2My86dzaKAA7jHlCoaHwwMo4NhFSCUtTDuedmqlMO0rFU
/RzQBzaBIJMnbjPDKrv1+Xyb6jnCE2WoDLQpF9TCQ+qxjj6sWDopMHcyEjxwEdfDQfStyot+QvGi
9QayovQoKP2ksNQXMYRpdBgACC6GHkyf9UOtAeqB8hHNAOmJS7BjipADNByY8vpi1bbRV92CIqtl
05Lv3rJmrV/5MpyPLeSD5D7xaEMvIsrmDAC42PTk7EnDZwPYfWxYNtRUr2465EqL9mD7dLAnX+th
LJPQ9m2ZbYntj6qdWq/EbQ3feePgggp8Oh8q/Od7D33nexpfuYCybRjy4RyBEe9rDkr/yS1zFB06
T4bBDTNMZxDesZDNR6rWUTyjGEeXrnEhPywjrqCWc9+4GlIml5ek28nOgVg82h6WiqpoECwXhfm5
rxoaNUuF6QG3s800+hPhush963mUpxXBBQxVZAc2nQO/jU9Nm/G0hAZziqpWtrRyC+VJ4Rk15teO
mi4uo3bqXDGMnfNufNrHh2CkDZRPLM9GiAWYk2fWBqapeR4zU+y/VwR5mws8Pk00lZtpPQcuqvU+
gh6S1itarKPwPnCidUC319iLXmxvwuU+HXMrK5FP812yCJSkRgMPhmZ0gI7kQFsWiA8u6AW7THbo
IWsyiWsx/TfzS9xBnplsdKAFCfDwHhaxZVGtU9fi4pegGypAwFyXxNC6DdrpQ28MOouu6dZnnaTm
86hYdFoz09CacIh1C0Eo/k7Sy247CLUG9w7oWvyo5yR4CWYPv2FST5NyDiwA+DUE83xS4PIh+swa
HT60Xpa/CX/aH86um/Qx6zXT183GEGj6k8G9YUbgwqTGpnuDCpa/RcTH0z1gl1QV2FpAz7POaXjt
1ML5U0hEHp+3uDPL3bzNe/PJ7HZNuJdutTQD3lpKBzXmFg6zO/o82z/8fukG+xOuaxyC+zgR+BTL
lOCrYhwMTpnzFUtn7BvePgqVYcmrBV1Bg59hTw1nwR6mILZKFNHIfNxuo7blbvDYqIvWX6btsEGT
ENV2ncJ908BiKvGJsIFsebD3ybMY3ihS0S9kbVtSEAbZcbnZJv0EBgGXsanOPkWgK/VNgza3u5Gj
4N0zQbU4auEH91PeTKDNwhTSk5i14UWSJl9uKJMNAHeVTQYNro2OY4ivtfSzyX7hPU+u26J9CerX
rvydSYdGnwbqDd+ty/c9pJ16MEEpTs+p29AyfRjTIX8Hjd5wgBK6AdcQY5uzyrCnVs76Jh94l1RJ
qMIG2x5OUitWFuZvqvPWpu5DgWXiPBrl51jIYPo2YEO2FyDWWBtm37HrLvHwjW6rA4g5J2a6CdQS
piXN+3lFpY1WH6331H1U+Zq/eBZtOtiSWQVfZ72zl0MQZOu5NSH+1DYEzJWxadLmPOK2QE7C8/Tg
5LrOd5vN+uduBVtCMn2Kh21NTs6kuDncD7Q7jj2X8k6kW3zrzX4MJdIkhvWmsWZkJUlAkL2gE9Ff
/VxgG8HWqdeCM0ghi9ysZEIVsNNz30xB+z6QLiJr4dCB2ddxjrwcf0xTVbPM483Fo6P5zBrfW8s+
0yk/t7kfPG7aowAGl0m3desWPKRtOHfRdeO9S+6HdOx7IKmrn97FAYu30qK70bVhI+6aIaKF9NFl
YGaJhhwh2KJNVWsfEnV0ZMLTz+OtySpLra9LOup0emcSG7x0TOFZQ6XL3/CsD/oqchFggw3HvDuQ
gaWm2JYPIVkMCaCeWrPXJBSTqUzSzPFdTHuyPk1U5wrFHU90PbYR7iYGB7vdttHM5W2mRhZdw83v
011dkuNzbZvX3HHljaYaNMWegW5sme/6nuL6Vc4hX2SEs8psvn+2U4x1b9M0a4uYsuw35O//G0jy
C9ryf00pDX8Hxud/TzQV35T4pL7igJefgZh/uEPw6l9gFUTg7Ck3P9SN/4RV4ORD8CzZDziOs33X
+wNWiRL8BHppDAMQpYCFwuDyO6wS/RfB/I5IHZyJHEMq/7eYJsxCfxqR9gTUKEkz8AEoVDjn79cR
Kd8Sb8yDiN17KLRVsg5zTZyNzulqp4+rQv0HQTIrBS2Ql4E95y6BwsVMunu1He/q3KWrfy9UGFdi
GhuIltLMXx+hKJL20wIsCWx7s01ugQatX7twLKYIeNFWYd6jUB5mweTOgAtUo4/z6PXsmczg2VUy
064QXuanBawe3csg+/U1npsuLHvu22cG9Uu7s/vsMI5QnKHr0SfLsAf1yZK9iWD1IOjoZqimh5xs
RZSMzpaxQE9QepABlzwayTXi6wiKeOo+gHpPTrDBzOgz154+QEDaQOxJuvbOabD95QDOpilJC0g6
l+FZNP5QDlG33GF4Ge6zVKxPQ5iyGtU3jMsdlD0tHgj0pZ/IxxDqUhTPOZeuWNWSYlQjbZKVXdBn
Tx7UL65089CeepW5L0OIEYs1MeTPpfWnRIWHJU+6kRZxtHB5Jms0HxOFG6KrdvPWD3OrgqDmK13r
uAsWJoBlM+rS2oWoH2NhTeRcDkEPwa/ZUTXHzJ/do1Zr9zHKhX7MM50duh4QRNHrmL2gpN3nkR7N
VXr4Nq/Ca1a/blAgh7KhcpnOLMRI/UDasPvAex2+bPkCiTpUO7wDYeS3/cmPxJwVHhlpd54C1W2X
IWtj8y01pPmW4+iiI/paCpkjk1PR5iErtKdtMXgqqzhp9XuQeqPCeOrlZfo7Afq/vb/939u5sB/8
m51rP9X4r/vV/prf9ysYPLDa4PEAB469YXee/cGMw5wIWzJuDXBdALHhP/crZHFGOM8AemycXvLr
fkWQDESi/bjncN8Go78l00bc0J/2K7xHlAVpDDgnT1J46H7dr/pZzf4mN/8B4/N7movkmPLIuwm9
ZYS8KxgfE2nkaRFxfr9xqg9Sguqc4blQMhF4NAEItwBhbpUC3BQTvsK2kR5Xszz3ZBvvlPNKdBMx
tNtfgpVD8DmYU5QumHZSc84pObTZ6Fdj2xyXnZ8UuR3KzMSvRqhT3DLxMjXNAj/I+AUP+o1cxlcV
xCM0fFFbpM30pbc5RxcPddhkzGkbtw36P8nEIwikY9DF8dWL0huamryejU/LwXi08tD8lX0/XS2d
P2VL84UOxBxCK7Ao4aQ7o9cHnyy9p7kn/XVvA4shhS+tj1RSUJtlFW2hVGw8KHHQkF0ZdDy1yqOv
uk0fWTLdk7mF6obx920YvQDAHiuvC7+NHOAtdc2rWkXdTvq8YCovMLue6JR/Bc4uio6xE8+3R6Aj
dzoNPwyiuelc/hJ0I2Subpegh/7LmHVh4XATZjbOZU+hFwtnWOQWvZU60++Jgf1Oj21QTElamdi/
kj4OKkbbxzaHLs4bDDEXa31VWjF+99V48VNxTzDRrVY256jTT0sKn8gG4U3hFERYWQoYJO29Ak6c
KoNEtsBOsky4YWEGAhfVgp+IVEPdCk0e8nC0x16QsFjT7gwbSn7XaPUtnNBm5y5rHr1dUOva5Ese
rvx+suH3XiY2LVQq/Yp1YX7fM9XAMqh4gam4qeZk4MAqxHhpuHxgg4I0uicPBrL8Mk1zaHstBNE8
jgodyMuiwvsRkww0dqCX5zaGQHORoggS7whWIy6h8/uYjuyNcw48cMnLKWSiciHD94aaWPSik+hx
3VvW2iKg8vPQ0OMCz+cFSufHgIzfY2brhW1HzFykFDxVpT8r1Pl+gvtmuGxzUsdN9GAD/oAyszvx
ID0DuPvON/Q1GTx9mjn8gczLXuHsSXDZ4S0dQ40tHursaRo6uHv8p8HOF9+0x4l3T23b1OnSfzC+
+pzkSpYBD3RloUMkii+VSo0qpC8g78SXm8TeZe2j+JjuQ9WSWw59XXbrT8EXEsLLpGf7bozCpViD
8TBqFxVwjk4AkNYzp84vV+Hfmx4TBL7rOo1GWoq0nQoZju9hlrrLJQBrIg8dgziXhPTL7JsDJiho
uHuDCTOTsuTdcrNBuV/avOelsMnX2SR3Zgq3YgC+OVHo+tpxAOUUhkf4Jz+SbroZBvEacPcWePoR
19cXLgZ6Z/I7tYm+wgVXjVtNlQdwbU0b5MrOf9J59NHO+fjQxKwvUcO3C2Yi7ywHA1UhxLMrn57j
xfvGRv5EUpGU4wAVMOo/1Wea4a84xZLTkMW1otNSdZHXn4chfOx8SNdxMmRaThjeCk+CHxskHmIL
TW4ZNtlDJ3WPy5N9RVkPB0GzPXbIECpo4n8Bm9H9xrf/p87u2o1/PSFcEeL1Sf+10u6v+qPSIosn
z/eT/QJYnH51Q8FlCbYnA/VDfpgp/6i0e+45fgS5fQavNzJAwD39PhngdJI8CyEx+K3Qwpv5N6yU
UfaXShtniCpApB8c6DGemf3nP7FcMZgfEVELvVJvYJhsV2jhJzLxu472Zez0I2HuHdVQsk9zfzQN
4JCWAXnYrUSyOea0B6zIN+wWoKoiqR7TVR5xYO3NQpsSsohztGlgiKek8z7IprnQ5sBI8xB0eXMn
W4BlaWLzKgtgTOQaA3dq3dc+Bk1hd5lDTMmHDIN2TSJvPsRm/uDkcDIhBM1Rsl5bM0f1JLwWP/dv
3LpBexRFdzvBDaK2fxMe1EiD8r+1o/5uXPiVeCNM4wtncNBszwPZTMm3+IOx3jvl4rQAP1R1IMLL
1eX3IrX2xov5UxrAFLqJwRUb7SqMbPhFqr8ndMGW7fQX4GlVEMqw6sJ2l3hB0gLYeSqcjL74/H2C
UgzYsdB+2cKjckrRt1c0m1VlImNjWO79bSgEi6K5GmFCOysdzfmnoI3R6rebGk5MrLCcboKf/NZO
dQ+TUjHH21j7VEFCATS+1iHpD761/ByFqwrKFErVwjZmfmR2CvDBevW4gko/LuM6wbPS46va3U9a
wSPCpg76YsHDYpjS99IpIJkLN3WsYlJIqXk9LywptlwCBc8purHM2Ef4hmN4UDq/6sxaMpnKS95D
8kZ53N5hp+kqky/6whooqTfV2ELEPeToU4guxGMRPQZ8+R7mkhwnmK3KidPmFKTe53XG7cNxHlO9
olQU0P51BchleYKG8lvugcZe0FXVYsSjqgB/9j704jLp+iuJGl4HWqQF92xb54GIj3EfAYledXIk
DBDcFuRHAPWsmMALXOFqay745lwBaFt8IhIMVWhb/0Rhf8UN8/xCoBUoomAGDgPCmONx8sTnEbRi
ITX8ZTrRsMgST92YTJqbxkAsB76/LUaEMR7HOe1r3Dy4AXXyvY0zWIot+x54cXTUvkWf5bshOnY5
PPuKkPizP7S8YBREjRngCWgGBf8GDCo1bUwAtxsVadWJpf+MNQfeC5v6yTgu5pp1xPn1FpHtkK+J
6r73g7QnjILhI6BHKOwB/N3ANuirm2hsS+VvL70XNFXv90khopwfZD+9WS9vSt/RGSYFI2sNr36y
6g9eM71DfJGD0i+HQ3hwQLcH0MKdD7V5Zru3QMgrAO32o0UfVYSsYbd2IShlI/hJtzzCwETgpwFN
IkU2nfMl/cb69ePig75pCPQUuffddLMuE9F+iLzu0sdg4FLovSOoCsp+UPsmkt/hqzgvHOJPrFNv
wXMxD+QF2RvXKWCXMUiyQih5j5CLL/BDv1t7b6sCtUHGrciZKHWSTj9rl7/CeUxrH9qGclpUvXZQ
QrS0tccodF3ZCSjUySBuTKPhyWJPjY8GO2voWCygDG4S333agN9jzghPrWQXnmFIjsydt0VoVeBv
xUppVQE0INhZOFHEIm8/d0SIjymfu1MTrS2g5CUqNrh8LmgUkyJOpS7iZPic6wR7lr8ItDfTVRrv
OdXaHDvO20sjFixl2Yw1t4bgkjyoOr05PYwb9iQqTfM4IIO/0Fguj8u+eJwPIbza33QeE1Z3tM2P
cNa1T32jxoqEwHGxwyxH3aVN4SVbfhzjwNauYwRLGyY/n2b2uME0BvoLPro2g0oydyBJU5V8B6vm
4P5xZzt3D75AmxR1t8myDXVk/PAYmaivI3+kB2h02gPLEv+IsSCoYl/KU5huSdWBBG0ZCBEKT+kx
jDZs9R2ulg1YtaGB1wleHyAODACwHbFL+RMNjkbgkyYKIDZcPU2xdEF69DrOim7YTDE1M3r0oY8B
Upl/qA3+0+qE6DH+davz2wGCf2119lf93Or4URDC9h1Gv8XZ/AQqIH0WjG8MaAB4Jub531Mj9tPW
cOoWtD0QwOwv/7nV8eEs31sTAh1/+Pc6nR96nV9ltzsAi8YJeTp4w/hPeh4Ky0aUYJE/tOIa2Wwu
Q2oB8M/56+ZCVFEbTkUeilvi+idi48927EHHey4oDMNKsq0GGTPnF80Rf+JHsty89HPO+F2/5G9u
t6YZ8X2BEXnyIFFo8+xDPw4jxrUUEToIjvHD4Vai4pdA8HKYcKN740+s7FPgEFPK35AG4w6RTAdM
dlMZhsAdZJi853321lj32YMV8Tef7LS88na+ovTdQ4wUHP2cPIO9f5Vya+7pOl+k2eFAT98EpAPl
JtbDsEl8ZofeBvpospwRnnHI05wWXSIOgnnvFtSEfE6KZJ9xoWlwINUqkWW0pkIHtTMYP1pogklP
KvByBSDfrzJvHzQP0qJpJ/vsYAZqVxqVwahhuNrSIumitvQQ1FA0wgOG7CUfBsfDOjU0q7fW7y+Z
bPNqMhgXvY0eMZ11FTFrhf4vqaAtgp8IjEkULM+pHWXtVPKmpnXiZdOq+DkHRDLnsKhLlMwNm6R7
DYzB/r0SKNirBIkdDK3SvKp7MItdinyJpo8rKndVPqYvkq411zDM71Y7s6b1omG+7JrmuPnxCuE5
gGuaBK9xBlcDhrBvY5fc9b6G7m92CBPCdpNqPDiMLq+g9D+2/TdFk8sU9zBSx/psF8yZKutg/xQn
GfpezTh2OzB2d/kOsXIb3TDmv7NxehlGuJ2GxH6agmR6jQf91AzxUxCshRnNeQm3IwoOPbUJjQqv
pSehmSybKbqxCw+K3Buzs/UsBsaBvHmrIkU6eQeTh0e/RZiBboEaUHN2OVpqX45pETews62oHis0
M23LssLP3FWE9BAtyUF7aGyUWt5c37/rk/A7YkbQ1nXTe5/IW0H5q83YB/Qm143xttxmcuLCvdcK
tipfshPduqzsEYgktvkyQFRUhp17DzdAIYLp04zOLEvCm7xrq6AdP6To4isamR5cpJiKXvUvS6xe
mU7WYlxijUvjN3yb69EF8HFkHybIAUBIp3dqzJ4ci49+RN9BTrkd0f+Ww7J8TEjzBOXKIQvEQxQn
D9vowx2ZuvC2IytgjFTcOg5ZZ9QcuPjK+VAs69zV2tCjbCEOR/TU7q+11zZNKuJT/MuOXc0AsdyO
ZtE0/DTs+FYCFWrpA/IK+gao0mpfAGJLlOg+KyKVvQgAZWTyPzjC7noAaFHoHYMdUcsBrdHBP4G1
wGOElmhdBjyA9KXv0FxRwHJJF49YUMELHuP32Y7cAfC5nwHlAVf4mjurEJ4E6J4a9KQ6iEvahBnA
NJEU/Y4Kkh0fTPjWXy3PnzjHvsJ2FJGuzK8HJL0cRJp/3gA1Qlp2pTv2SLOEVvoHHmmnvFZdcjPC
l34FoXv07A5fInSrex5F8IXaCAkw3L06KW8j13wORIB8m8WCT8+9euYhgioaOM1HsOhIQxCHnOMc
kjFz9ZIxjpZkhJlwnvJihA6uSJGtgL0IPlQaq1sXZDdzGFzaJTgzNj+pZl0hPgOM5eL7bfFu5IBP
2fKpGmcGTMl5cWUhd+3YgDyALK5+VLr/lPydBvzXJf//DTjzXv215O+v+rnk4/SuMCGo+QijQ13/
qeQjvw7+NohLUdUh2vy94uPQe5jrQEImkGwC5AD58Du4gZNEAkyNoEpxDhDwkuxvgRs/5M6/lnxI
YnzIeJEsg6y8+E80ghwTxxNL9YPfRy9c6udQJzdDrB/5NoLBWmN2aXxMWkF86qztqoFzCndoasp5
Wyh6TeTXwTe9VBApPfmxcyUbM/QD8ZwW2gWPsz9Bipzjb4lM7sVmDM55g+l5ZP2zyjCfOCFJEcjt
zptgfx1EN5YIR/NKb8NSy2B0rfs1hDlvNtO9L4aXDBzuXbY6cduFIaawFE1JQzV64T47xhoZT2SV
MHIzBhuUEi9MEARAeegzfKXP05gcYMZqapTlEBPG8A161zdoBb2iD5OTjLxnkAMBrK76zu2yIJc0
n+EF6IDIL7ZUElO1QlDKbdBEX1f2SUXlnDcnKWlTmRXkLhjeDt8I7yvRb7wKnR7r0XafjJPjnj7y
dZnNJZhHU+Q+PpBa6VkrcgWpjIZE1J67XebgssXkY9KlZ+l3cZHbxK/yDFxNo67tANQzXglU/1vw
APga3jB/qQMCE/ccZbqYm0afsx2zgALwKWxM/Jh77MsWikctCARAfQSoNWDBIZwkpvNsDQ5RqpZ6
pHKue666inITwA1JboFDoEi3CHoAe43p7GnjiDXw3RLUUwTJMtFIDEtzaElTCIjqZprX52b2o5IG
+bvGk10h2/EImzBawuwlzt2nwGvEcbCoFMgx7FaWV3LH7kdoCBGXMZ4MDMNlOk+XKMBncWo65nDR
lZwGwr+OMayKhE54Y/ivRvAJLlZfWhBd5xB+Ijzgn3KJSq66BpkUPHiPXuhOQQNZeSSGqN9E3zaz
fFszaw963kDBa0JPkCV+HrBEAePAOc8RK3ZozfKchI2+GYh/Wbvuw+hy+H0CBGZJdsTEeTtZOwL9
ID4cgDQoJKfg6rW+nzuH5bO+MPjdJ5aRE4CDrYAB/pm6CFEH4fJuirLzHiF5Iom8IEcITaxNhwPR
4pw2yatiPrus847QdO4Zf9PcTmuyAgCQsp4b8BU/NICrgpgzACl0iLbIln5K0yqg8TsEayhAbqAi
tBbiokNQGBsUCyhtYAF63c+l27R83/jAkgRj6tqlSV4YzOWbsAFibYY38Aywm88MsqsuKHQogdVE
o0D0QLdAAsYBENo5RIKEZIXsUlapcDn7jvjnibBzFtD+mOJa0EVEtsC2OAMrgLa0mx0cjuIUz9Op
84DSSNDZHWZZ6Oi8ACstnktIBBEGE7OsyhtdzXsaCISBlRfvARk5AKX1Ndi6m0QtFxlZ5Dio5zVD
w+L0cET+I2g96BMKwYP7dVte253r7C27DvHyyBEoRBARowc0YhRKNA6LSjHI7g0y7ku8+Ser9QuQ
Nb+YFuGjT5Ow6vfbLddTnflKHgZLdBGq7Y6q6JEL29ebCeoM+T/hghhIq5fvcUI/tk3wAK38PaT9
16lDb0dW/ZnSBJwHd+97Bn9oPBGCWIrhox4y6JsskrPmcHyRLL7ZPDTyK1qhAl4Oy98QIJqc2jgV
EfKnkhAJWFAhJ638Twn/hwjp3zrCdq/8j6PU/lrFf5xY/+m3HFr45BFRC/MH5nN4vNKfTWHwd4UA
CZG4iEb5F/VShjJOQugHdqvxb1ay38t49l8w1wMIQIH/X/HJI5GGwKACcUEW/lm7pBezTENqDTKy
rqqJa4tklZ/6mv/B6LUbRP7ZJuxuUfQhKdxT+IQwTsW7deMnDgQwI4+WbFkeEE5zabM3z3/Ik0cd
nwJ6Nes95t9//37hn0J3//qO+xX99I7hRlQLjRICLJH/URDIB3MsMBkOhWykfjRKEuySyXif8oQW
Oj2kHXD/iW40qWc4KGrUgPTjBtv/OY2Q7mgBjFaBxpKOCLtNJKgPEvJyVP7X1ePf8817LxxCgoMw
hrkg7jDmKgvuE9hvFDJSK7QQxdC0zSnm6VFDz35IYGE5NGMrj9RuAvRli8qvgFkiwFYVNGyR2ErK
cWmfyLre5Anif7IWYUwTxV2CA2WgqOITRrvYAjxJzSOlsHtSL0I7EVxXBhs5Sc/CX1qUguZG5kGx
RN6rAihdrOLj6qD+zBj0107XwayP7QwsfyQX1mKrYak0Bw9C+CP0zndyydxzNu8RkupHnKTckyVT
mN27PWty+hE7iTwc/MMyKKSP9TB1z7A83oPTgR5Mz0gJW6LpM0dXkCJq2IuH2zFrzxtH7HBO7z2f
31uXvgt2tnzXKhVg/A4qbL/Aafm1ByVRmyS+28b4AlVztfLxdqamXhZ7tlF79d1UCjpBxmVvDbSh
C4HpY3YDEkUTc6NX/920hHUcy52Eca8JUqAKijbivl3EVfD5uBCk5zp+8SXPim3EHs5nED/g+EWh
oV8pYuzWustep9kq1GOkPIXDCJhnMTMQ1xAsHiCa2x4WwINGEF8/fM098xAz8qQXjIkBAqBhOlJQ
8g8X2rfXRXjPZhUH5uG2yB2UbfMiG+avGUOwcJB2j2i96nwZ4FXaggphrbDU28d5Qc3UgEtSEx+N
Wg8+0oDnlECo7FdSymcn4utAp6k0G5BnuEbWp82yp5QGZ4U2GwaQ9zEX4OkT9TL6HszbrfouohVP
Uw44GUl/DrAY3JoQGazffNPcCEQITjEYbexgZyju0zKK2jr1DMbl5sra9S5OEJuTDEB1krrPIL7Y
6I3W8oTQJzTxc4WYtnuYtqrQeGdsFI+WNDPSvXxdRDECTfPoLVa6DLFCQFEJU4iktydukv6senGA
RmiBzcy7cO1eoKVjhe3n+1ZJyK1BjHXQtSwUpvOFhJ/ypfvUZeROIs0KuVAQphutLKghMyCReSWn
H9vMf+bWCBjxv55bnz99UUhsFvP/pNnFK/+YXaGB24lvpMOBZc/9X2dXksJ9/PtP8KqfhtcIWl5k
h+J/KIu/DK8+GPsgixKyZ5j+PQ0cTmn6pSqhGmXQBuxXlyC5BW7tP1WlqFuFdnIzD1tP/DIGfH2I
VtbVY7fDkdsMmI6j2dqSeP0AN+DNqMHe4HS3DP0XIsUpHE8VFSR4apq0RmgmNngrsjL1W9h2Zvcp
oaG7h9frm0knXWcdzCNjT5+jBTZesYIhtWs0gVlap3tICFFx2NvMTG2QRXBoc3IZZvSVKvjO/5u9
M1mO3Ei77Kv0C0CGedhGICYG5zHJDSwzSQKOeXDAATz9f5z6s0rqKrWZeq2tUgxmRiDcv+Hec+fl
WWXVReAWN13Zs8u3j5HI8k2Us8YUldPGecmhjt64jBmtDlucGhm7Lv8jD5DU+cZbMRkfasq6OEgQ
2s2ckZu6qd67CnhkYRrX0pxGFnn1slEFh8AU+T80si7W2kFsBBOcdTBq8bg0z1nV3Nk+iqQGjVaw
YGPpRjnt0v4wplepOPmtc98N/pVTJh9riUuuvvUttPhOX1zX2i8x5y9V53DBJT+z2nucPKpXM/9c
MAPHorTvsDcuG/CY5m5Kh6fGkDBGR5CYY5mV2P1KJGgR7UbvLw9VKj1gVso9DqGZbx3EYzuzHgOE
Ae66rQQd18DZsGODN8Sono9FxrgT6+VhHI383rNKO56ZY27yhSvbElDqvMZwrnpgilzjLN0LtJAX
K8TPZpg5F43GPIzzcPJMS8S9I8Xe1fX1+FVq16kRpFf2sFYvOQBIdINV1/L2Tet2dlBeTLOg/ffC
T8zdxzmbbjLZQwWsBhlcyQTX0VuPueq9KpvAQOhURtTtVrL3Bt9CRy3Q+K0Rmkj0ivvWVc1Vtdri
KVThcy/FjLoyeivEzEE3teJG4c6KjXbskTeGj1GtTk7lHQAmjoeSuujYW9aTMbIpHBn77WaAiIg3
6/QefRQTmcGub4aazYHJe+kM09UMfvuRJyDYtm6AS7or51ucZcMO60b7mHbTj8E2/XNQ2FxNefbR
Wiy2V3cxdyKyro2wYeFtjui/DM/aBgBvjv2Y9Ee798uHzu/Km6kJ6sfCXhBoWCLbTi7dTChjKX0S
BjS4KRXecfbrgsPeYIPsjLDOmuVGySjZGjBNt1XRRDtP2Oos8RftF5HA4lzM73PSbruM3m1BP+rU
5kIFCP00dSMEGrNrnKg21FuRw1Ss1y6JRSjrw9w2xc/C8YZjidkTHk54UahsPk6rpJaT0erGPfSn
Db1vrx2jyWWWOuFVOC3XA1M3+j7gSSxf+GZWU49ZK5xjadfDlRGuIBotKgpEoevvZe8/95H3/1SJ
PX5k36v/psf+o0oMArY+491/48j+NUd1CHMDwct8h/bH0dfELywHKjGPzih0MYqgEdAY/F8dWPQb
w1PWnV/4Cuyzf0uP7f0ncJ/mEO8Iv4tWjDaRC/GP/Updoq8q+WvcTCw8B5SIzlPqmce8rg2m/ikF
OgeaZ0wUM9N44gCnasQnsbOm6EJ6GEpbx7H2ab48hkbTHca8QlRtCYZDfrXLx/Znas8WQxJJcXbw
/WY0YscYn4dwde9xKquD3/s8xO7in/I5iP3OdrZtMPVXnu2OGy+1meYE1g+JKstMRnlsVX3d27kl
tsgqCkRU4/1izXfBlPt3HREiOFwUyKeyHpHdsBkpo7oHRxkxpYzaCFl1BWqz2OfpaBytnC1ortU4
4Sjerdqex3iYYHnJOp+OvhZRpe2abKTDDVoktXWT2Mh05xFaiMyi+hhYpbVp+fWr1oL0eE74LehD
Vq0U6R3scxHikRIRSY6YZEZUInuOOVnb36XWm/haedLICXxHkt833rAt/OY8GeyNe9/Jt6LqlsOa
4aDvEbOEI0vl/kvfAua7RfCC5fuITTM8ed1626tiwZUTvThd8LNBLMPGMSA4IAP26N3ix3lMJ+bW
ConqhNCmR3BjIrzx8PoRC4AWB01VgF+w+Zar8sJHrjNr3c6CgGfWSp5RRnuiE968OvpotdbHYpOM
pAb9T+3ztiBKaTeOFggJgdO90KIhG/VQiIqo0HIipYVFZY0m3dBio0rLjtZhePHRIYX+vG1cu9kV
qcD3k3IUt6iWGi1fqrSQaQ79NMaa/9jw0ZelPTlbMTGLxRDEyU+jtk3d8bYduPjNQEEsW8efbiu/
TVnxXqW1u08c671NinyfzZm8qBPGVwb0lLQOpr0/w9teO4bxBY/rAR202JiJWwEjszovbl3nZIxR
dEhDZrpO2PBFaMLPJac3KoYfju4NItz9OysfQOj6KBLr1udvq70FodlusbiWe4F+ys8Sui14qVsK
uXKDcRAHe5Ot2Lo7qgjpgFeYDunkR2A25htnSo62V6P3r2/8IuTGEHgYUQrHibqKeM3BlQ8trfjW
X4LbovJfAgDmRQ2/XTn5Eif5fCgsCwey+Bhq+S0oM7q1WSLbzttoNwRRv21wNZEEUe+bor2ybQRD
RvU0pCOz3vRSVm11tOxhi2n21i6nozuylAxUxNM+zzdVaa8X2Jhfs0Fcez65GzBZg1PeBZd2BIhb
grgwgDYzb7cByBbrxgcQTMCQFW6N1BKnMReX9igurap9LS28HaEaxg1DWHbz3svYDzc2GvsD3uUo
ntECbcH1enFfs3CG7FFsjFEeUrdi6+qv89ZYqnvlJy8rvhK0dSODeIFQSvJzKR5yRsNl3ObFKVn7
jw5n9M5e0bh2kX00Uxxc2eIXZBYV5XaS2YudOHdSoVByxLggJBvcuJh6/1h05idJBGdXiEsBzQNb
XOXwWHcxCr/X1XceE13q9kkT4IZmP1Pk1j1RUa9WAsYudeo720DKZK3hpx+NB7kay6bDf76zh+mu
z8ZDUtuPUzZcmZOR4n4ILyDvoFcIqruyq+M5EMZFpson4ck6NuV84S8hBSuqTznbnq6QSrjaqtiV
7tzEq5ldrbUyCNxo5tjoy890TR4x+jG5sXQYkMjaw5zl733r3aQNY2szVGuspcXo7xH7KkwnRxm2
+0AFVPrderc4jtoZE4VxEaUPMz35aBvHKGnPUVRNe7ftL5gpZtwCGeQHKn3aex/7i8+IgtnHN1S7
Gj/4vRtmcZjtjMUuozh/rJ5sb7pcWbehzBQ7d3L3LER2UxOeRdsf8yGRx5WHiDWbL9BhmIclsH6i
HLjyUs7sOXJ2VIA7vGofEtefnLvv65zuAojIm2EBR+dYr01YsyUKUZWABkgK8xhI1IIpAuSJh8Dk
PHK4KQKBFsYr6hLjevDIIOwKT8BHITkohePrKXcAP4JWRq7iynJwQcxDdNNHa3qwXfVc8tzC0Kaw
D1RPSckWkC/aHVOJCUEAaQsmsQvcnf2uEdmIYJZMBpOm9CbUOQ0GCopDP/TfBBEOHoLQbYOs0Qrk
KzI47PqcC5tB8mgQZMG+b7b2K7kQThLOhz7qWYk1P/q8g8ccNu+DDpOIcmuK0SCv1xjtvThpu1vu
vCulQygwgZ+ljqVAS7N1dFBFVI3viY6uYDH27mT1TZ5HWKt1vIUkdcpqfWxXOvoi0iEY6SwRwOpg
DL5l3TYJvessMPmW6fgMQzT7hjyNBdHOLuCc1EEbisSNRUdvCCN/K4L2p6eCrZNV1QGA5oE6gs8g
mR4sjwYGRVBADxScEANwFdegzEtKI7aAWEF9wxpudD2cLtVnYRbNNqzoqAOmSIMBsNkRFbqn9jM0
6nRHutGrgma6MzriQJiwEm3meZs2Nb6Z3Zjc9WF9xWkOf+HKnbJDJlwPZPuYhScT10wHx75sMtxC
wtRCItFN684EsJ/9DpD8p47WZK+/nutcNf/Nha1/5tdER1utSY4DbGcTf/41df9VRZNuTwHLJAWN
go/y4A8CROQIOCCZs7gutC9T6wJ/VdEBMVgMXhhf/n/sMZxII57+vWdgohOikwCKRC2PPZpi/s9V
9LCi3h/J2LjmfF8vO3SK8DIaZOku+rd0grC0JqM9bQwcxmUcyiRorhazInBpFDl3mfTM8ooi1Kzk
BpePH6RbLSJ3d4kxuswRgBBgDHJWZpPzRkn0uy9qrIyW8z2F1Y0N24ja08DQBhfl5PnzHfF96AQy
o0n3jFwNZqP1i81IfktLcZR1gHZsYLqCQW7ise7RSaXGALXVfMzByPc16vamYqW+mPf1QkkLbwnO
K4d821TnuksuLTU/L+iNN4j7kg30fPwHpxLbGtVbS+qCnwvQftixyaxQGxEi5RvxIjKMWF+qILol
7GLclNxDgOxZpM81Rw6YmVhV8GvJFrABaMVinL7J2cMqkJbnSphejPb9dmjqZa/8yd/6I4MJpEty
6wTrHBeI8mNzqdfd4iHspu3amcgf4nzkcFLh9G6487k0iIEYAUthCbfeZzpuGN7DPjc7VHjA1iur
RExmt1vR98+jx12ed+pyGDHuTWKysao7D4Zr7rtgtPdJgcVTx3MkfdKe3IxGYXab69xu7rtOobsC
wk+qYEZaxgacBhpBKCOI/F24Ppzl5P04JpVzEZeZa2ynNr1wk2rXt/gkCItgkyLnfNOXTbEPl8DY
U0wBY1mtfVH2+aW5rAcrTV/GukZqgGjz4LCUiA0/ZcHSw5WI5Nbq5MU0Em3Tmf1L2ujjtfDOy2I9
yBT5A57+TT5bqPzy+7SeLoXnxKBkqMGg6ewS/BTIG4zk2BdJtjXB+5peQ0pK53w0pTUcrZZcI69u
rj2rlofMAe/kFE/4aJ4rVPQQH28gx7QMXgrUNGWUb8Myx6hePasgjLVXYzSdV7MdmzjIPQZB5cNc
eHjzO+QZSYauDX7MdhnyiQfdzs5t28NdilbzmCn1UgdsZHJbvsyJerbc4dEd0PuBmz+Q6XjDJIwY
GowKnvzBrcA6pVawqYKiJbEEDWBoQUeS40OSY6ptsN3vmiU9pYObHjvZYUddX0GAvXUeWSSzWPTQ
U3RIP1xr65rj0yQgG1j4YWKokReG0VzAOfxer2G/MdPO3tqN9cAQc4+e9bEdzAMhGrfKFMiShfNA
ex/GYWZWG2c2rtPMvcKVbGydQuxnUb7gJqkPtbV8r9J1BrSVHsepdykUQkItjaKOHUZ1eynr17zu
Jt4ftCPlvIbnCJQgAzzzkJprf6kVIZUKeEjt0t0RnYW031D7clhuLMv96EvWi03fXbdB8NR0SXbR
V6j6fWv+KER0n4Oc3GgfJtFGuK+GdflUEyZRnDvUUCmMBIwnrAkHaR3KQDXbhMQ8Pyl4dEyH9s8i
K6FpBQR9dlMw+LJjkc7f/UzWO+nX9W72o6vR665wzFBazYQUzOj6+4JMAg+Q3GqYn71yz2kjjsva
vMJZQl8MyypwCrVtCXUy+27ah/ATYnv0793Zdk+phPa/5hwllp1fWUV1sVBpYGE4w6C8y/vkXJX5
KZPdQ5J1n3KOhrhW/eXSJDe+0T62IbNtwILdxsxS/xxxLnI2YuOltd0Fzai9Gs1L3UhGbAobeIl5
zktUvwPNI2lH1XM0yHEzNpiLprrlxUXxOjtS7zvnfTGOJj5U5OURzKZ9sdBjqA+lmXpwycSuXtxz
5lev88I7akUY2pW0d8nUQB0KdFKG8WxThmaMnoF7BtiZHe9kDg2WZvdt7c3PyeJhaGv/se35wJRL
8INXsl+10hp9dxXcEji0Sx1kPxq7uSnLCTRacc8/NVZjdrNWrrv3UHhs0wmI+VoGILhNzXs0T2OD
Gnikxjy5ynuw2+RbFkRgfUrxUSkyWBJXoRxXa30ciunJqemm/ADQnZr7KRo2X8XBP1WSFln+dZV0
+X0YPur/1Hvon/pXnUSonjZBAKxGu/klwPxVJwGGINjT4Uv5ezLCvzdfhPSx3XJ8kyKKQoqC6N91
EtNGE1MH/g7+UJs1/o5s86sY+3OdhG6Eh5SBo8kqF6bOn+ukaUSv0Da+ugFpMgS7jLEXtvMgWqji
BTJLOznLtUjhi+XTVDxbo0UepmWGQp7aVZibefLX4nJYIrXu8tmW665QbQ2ABLiY7/3UvjJGfmwb
ViRnPVb6dO6Z3ltp9BmZlSUfkEqRXcI+gfV1skBVicu2UdpBYCTGuuv81CafpS8U5N8VtD+gl5EU
r11lc6/s3MCq6LlCFl8SeT6DoiIMD/2Uut5TaRmZvw+c/iRsiwKI7plpJYPTIzq3Mf9U2sCXfnn5
0jQH06NzoI+ZNvthAMH2pw2A0ZcXcGmXaWeUGAQnPZxkMMuiqjI4e6lqfkzal7hqc6H88hl6Xeoe
PLyHvjJcZAbhZ15zknIUklvc8metgWjDmLAvUqqpc5a2wzm0pozVRgV5QHbUaNr6iNyWPLEvP2Sl
rZG9yTk2eiz4LG2cDHuXpZ82U1raVulrg2WrrZZIFDLuH+yXYVt/FMHqHRxtzWyzyT0QQyd25pdx
M0UT63pjeVuY2Drxx50qbfSsKJR2DI/py0LnI9N2UK8HQ/PlciNdoNsR24SNAf9oq42k/lqOhB9g
Ls36/jNQSQILDhF9UOXTECttRy2lTZ5MUw0ozjCr2rAor/g7UxxoK2vBek1ocyvbYySi2vAaaeur
0ibYQdth4esVO0dbZNWIU7fWtllO7m+lNtKm2lLba6EqIz+8otpwSxhMx7mPCdcq/e4u/TLmaotu
oM2662J11nbVFl6UQOV+/bL1ovbdEKzc7mYrQPVYodZLtBHYKhkadAyL/hEN/K6U04uTvz42H8RH
3/+XJY3+qV/Hpo2V37SA3IQoEVEMcAD+4diku6OjcywPwqxW0P0SDHA2AuQOQvBbiIK8iBf81V5G
v/EiLFUCpFT6II7+zrH5XwQDzNsCRAsOUy3bBpT752MTBW6VoWY1b2BGYkOv1pwy7a1J3zG/rDjf
2BbUl0IbYATWoEulTTG9Hdz4uGTGrt37uGZK3DM4qbacGfNhKLJvde8dOnw2Th1etdp4MwSvgHsA
cOHIWXHmSA8pc6rNOnY6PtGhPRIwwmMemSVzPUvGJh6fBK+Pj+fHw0da4QFaM1REeIKIkOq2FS6h
zKt3kbYNFas4Dgj+NjmOIisNjkpbjNxCUh1lrzkYjhUPUoQXidadlhZ3kqHqlw63UmFxULn4l/rI
2K/4mUSEXIp/2QGe37hlHB1zRRChRyjUBs7uCcC5NooTtYlPPMAx1Q+4pRY8VHCuZ5wpS3BatcFK
Je45N0s2y8o4+grJuCX6BPLXcoAlfQIlzYzMv1ctayZZ9U8lTq5SW7p8NrMpHi/iZc/E2JEOb85X
qbaBqTQwdh7OMDmxMJ7xirl4xgiNbwiG8S4W6x2B81uKt2wJPRLJtN1sDdkEawNa2Tnsi9wPR1vT
IjxqX5Q1ZWJbM9AsAcBOwYFhaQNFyEh0OYSh2rV43saB9yzVNjj1uyWu+PLHgQ61sl0S5M1Beujr
zrLhVlzd1pSnJgzTndSXL+BP7uGuMftgZ3/BCYYvUEE5deqUS8+WcG41ymD+whpUdgO6sHQhw2Uo
vojVuqrGrtuZUBFqjUcwEkAJjosJ3raBJ2AZjhU0BV9jFaKi+yTjxof3m8eLRi8EGsKQesV9sLbL
GXzUtZERZIiwmNegaWmM7Fs5u6+1hjpM8/TQaswD1jgRu533nkOAsJf5Y5UoribYEKnv8ihAizA1
NqIYiKfVIIlcIyVcbyJFTkMmouLoZv0r/FdIy4Zb7jyIFMjDmUW4fq4Nxu8I6tjNl5S2SyUjqnmg
FqbGW5QpXdtryVgV7kU95+8uKAwPJIZdp0Af1jMNziFv2rvJYSLNHf/UuqLd+GA1Sma4gM7ZSZr+
S8LC8uDxX0JLvaRrdydAcyyuMVyq4RXy+YDE2mjOyOBXEfNSM1PZgv4+M+jPy41hZMO27OdpM+oS
Js9oWzVOqciy8wpfaYWzxFyFPYPb49qbGLx3S9H//Kccp69BO0x1+tf3yr5nZfZfhGj6p37dK1b4
my6rQ2Bszv8OIP91r5iaq8Zo0vyXxvrXvRL8xjiRdALL8YL/LeJ/3Sveb3TpEUYq1NK2xrH9nXsl
+Fru/2lsyfwT07QXBhbuaS6+P98rRVXCHWYYeZ3Mw0Uqu6m+kspeSD6sprYFzyzG9cBKjtDGrErn
5ybKyJBvolqvDfKM3nZ4gC+9xNlQs5eR46FTaVysqdhYpFHGDdUQvAnynz3uLaf2xA7zMlDZ1bu2
InpmFrevFFv3dVUw0Gys4k4GbfYAEeEY8bWrg4TFEWTtFGnbNRv4EGnsREFYGenrwlbgNkky4d9m
JetPrw6HbOsqPTaDWiWb2MOHWT/6QM73SR+hcBtmK5EgCYdMPI94cQHIF+qlsKMMPlXRHNG25cvR
NvsraNgXavTuPTCOEF3qZ3PV5lXWiU3W/rRJPGKXO/4AvQxxA4MpzfaPTFOBe8Nll2W/+PP8PKJo
BhFvXBqTERsVzLhUDIzl2taKwwWv0lBDgGKNrpeN4bbyizc79R6KULF1IadjMcQ7gXaP1eh+mC4j
gqHiTfFCykqHDQ18/u6oeH3u57Z4IwsUHqcSR3ONCFKEvLKpyvCxKy1739Q4U2uI84hT7WPGVLae
pj6ulDg5GTmgXsUiEx60RtkU9c5mi7iD0nnhtPZdYo/VlhKElsa1j01BPJcdMoOJyH4+LZMFQnw0
3002tOE4VNDcvWRXBMOhqqPvadaccYCeB4dNswgNIp/X6IEdDZcb9tE5Md69aN2X5nxqEyKAe/z1
U9LHbb/6x6om+HdI2k/ZGPBLBZvn0ah+qiya42mpv/FIMy2PpuBIq1XsebzuXMadMFtw00Il2rhr
cgue/s5jiLRh6UzMMHnlYwkKhoxJdqUQULY8b3HmNd/G3GYtnsoLyScoh3HP1or9pOfS6pgdHvWa
fmVabubOe7EGeR1J8ZhLojHQEz9XaXafaWN9a47MW3zjlPss86esv1+C5NFU5t3ajXxFsEXHOHTT
TSQE926f3DIUPy5lYoBTMn72nZHFptsWh8XDm7xaJEkz6K/i1BsOCF6xApAocoHb9iaHr75vqCBQ
6tfOtpoQeneuuvQK670kx1OMYRn3g7jy8xYdgxmcl2bUSAHN20i7rcUXIEZe/b03W7VfInkT9e63
ycjMLV91psJL5W+z0fmsFoThRdvcj2u7lWNwXHlnNoEe7wC/JhGaiY+tRz+GHgIlKYPtgblQudjr
YQyCb56eGFl8wpMeIpW9fYIn4cROGF5metDk65GTqYdPqstvBNMon6lUxXQqzXi2VRZQpjG5ElV0
a+tRlq+HWqpVTtzpQVfHxEvp0ZfJDCxhFmY65U/O91OnmK0LPS5LDPvDZX6GkD7aVlX1XOnRms2M
bdHDNsHUrWH65hnNQrUbwgd3Eb3O/p2Th21AKAP5t0vW/UCnju/P6/iWY3vU00vf0MVy0Ry8af3R
O/ZrF0bOMTJriswouF3HidJUZmHs9pQ8vusgVcgWTNaA4MxAPmS1LLdha5bHhchfRiFFzlnrvLW+
+4AdJNwqkNF7WK1Et8FmhaoCZLAW5vU0YrcqPOdjWqFs1Z5/lef2FE/IDo5FUUfbiZpmE434sCtT
oStx1U9mANXWGlgAmYnyrsXskXg8dHMcGnYWO3Z3r2p/uFjCQO4swOWFqOH8hoJ1vbPEwkNRsuRZ
e1UF6rRUyVtVz3NcYanYkbTE4sPhaW37/Kcf1MEGbuy68+pkn7rOcvTrvjs1rbsvMkLIs8Av92FI
Q855yLg+79760IO8bxxS7dQf6+wuM4iGgACh7TMKm76sov1s1M3Gx/d759c2koTOOpE7cJkHIt3L
Kg8PQzfhZ0Vzw1JoWS6ycXxHr4HmB1z5hd0iqfLaleDpOa1Bb+HIWFk3xS6UsD1kgWZjEOW8STEb
bDw5oVxN9OIrXAmEBZleRhdJtJ4NsVYA+9ue5c96B2ecKjh4CI3Av1yHDmr9uLLXmJbbdswea3td
uBCtco9VVGzGzOjRkMqffldhfYDbdphDwpgXK5Vb7IsMUcvsVgr7lu2PGReNmA5tu54dmVxigI0L
dF5Tj+7NyXWYfaJ8kh/6a+jCP8O6+sFAGrNeAP3DJ1AL97CH2zBcdomfTmBKkQWZJquSsfjeFMYt
Ke0PBW7XLQFG/i7v4X30bvtRrsFnWpkkwDvuEPeCGdgo7DpWpfnakrOBIltcJ9HY7B12eLHq+mTb
JMW5DqEe5HOePnfsOIVKXn3aChDPxY4Yj8++kq+egxAlk9ftxKPsyupnApVkR4IEupuqfB6bUOC8
FTSchnG3moBajRKFRYtTqmmKc4mrdOtyp6JH5ACzrI85HI7BmFyGSG4gYiwXZaLVwwU8La9+qRYA
IXpx6i9s6HoCLvhAL7rBOnv4ZIw2/FQzvDUfHy6pNMdkyD9CY9oPYyMPA4kXQ8ufIht4NnOTOJxz
lcPyGpEjDIV2fPwAk79tUett8j4gNxjgtSdDNrc+yccDixbyNlDJM0mkRTnPK8+zSGyE0Tb9Hb3S
xvaCB5Gn/M8c4FNlXYoePSEIpXRr8bU7ULm9UYGdxNzsOyqdjSP9i9Wj2RxRWtOBbhJipS2HF2/n
hl42PxfKzw5OJX+6KU5m1l6QJ7FrB9WtLmIshwsvqlN6DrZfS+jA2BVPvUIhw44KpAvakFZEl4ud
REgJaScMzEis5pheuSx4m3mNJ1sPHxR+NgDcjK2qdC8Svjr1qqHgPdr4CZG9HdbTLqPuRAgjdkYN
U6J2e5Y32YVa8s/M8sQ+VSG40vzQrIeBbYrNJHWpY2u+DI3iEYgY8i6X7CEgYAfcNgg4WWXBK/nh
wM71VfqDiNVL1x57Sg54MEPbfccJrQMxFDKX1pz6M1+fx3TBMC1k+Gy1aLV8TVlFSnl00vJoN+Vp
kkWsB7p3td9X+JFr4asd8g/LeMmmpjG3GNCH/qKY+Sc7jFemcIKnNhnL3cKnU5ueMGI3wd+VroES
pK4UQHrYqc8F4TSmQU5BhI2ob9jdBoSd1gUbOOE2sVtBUGW58y0JrXVXh8wPpyW1GIHnT05fPyjX
n/eD436SPPfCKs7D42HxLxVyDwfplAXu97aeb2cBYSwLGEhkQkKeCfiGFIXbbTylubtLgz4dTCBe
C+2J4krj89OfHbU5iNZNGmWXXW+5zMzdeJbB9SQFwbvBpUXY3KYe8u8W44Ehci+R3FDdNO0P7pYF
mTlMlzp8GoQACjyaH2h26sOa060vuJ3cabwFykKTroOwaCU21DWKNND6vVcVjoHM2Hpms+67wb90
O5KqCqasMpi2XtXAa66Sy0g5h2DxuOy8YWD/yTc6t/mFOPq3hVsOaNknypsVvHybMwCm2gXR+lZ0
jJSym6ItOAFYgs3Oyevx0kThdG0MTK/qVt5UXv7eLrhIUgK+1SKum9S89qJlX9bTtWvf+BKqLBy6
vjfSi8lsXkg/OslMvMpAPrVRQ6uNSYQMitkPHmZQctS910tnv4nWOkYMsPdOlZ7WJVhPSKPe+As+
ZQLjeEAtuMtkK86cCm8uYNeXap0YIXf5Gd5Og/iYTKmlWq/UhGCy8y0y3jES5MWdYuxetCEWeQLX
qyV6Lb2GJIrspVIQCf9p6L8aeped11839Fiq5ff/A3x5/c8dm/7JX009izQvtCyPePHIB1b5x2Gx
/Rt8B9jrGMX+L8J6QGA5aLII3gXdfYRs/1/DYv83bMPI/QOLAt4y2ef9De4rkiia9j819SH7Pz1B
Y1pMpePoP/+DAzlKjMZPw7C9qWcEeNbi93Fv4zcqUQAJROl0dxhDyZ9DTVcEKPc8eeo863Nq0CM0
VaUulBYiVxl3tDTHY9qkO4/3g8OdO6upx3yv8YF5kP9QSU/FMnWUkTW6dqJt6l1QeeHGaJfoNuuq
J69HEEEhvgAsWi8XgmPSVFJxiJckdx6rStQ3cBeMLVAQRZkRINWbLXFRldlL4oL8LKLoLkQegOje
/rCMftyntqEeAXwfMTOc83Ze9uYMf2SY7zsL/V/TlqfS6K4nLft3u4NnDnDDvPmyCvoHyFNs9Jfm
avBodVPpHAozyuArDT8XRIW0f+m0CwAwbR2RHICfPWDWQTDuQoR2e4iqvTgh/nyzLFL81Kyup1Tz
N9eUCBiaGPCIxwxefTwXI1lwvbaxrfcJp8zRMyzemlFM51KgN6m89DpqxUUUgjrKS/IvpPGe52W0
EV0HHLQRB7UqwRoo6FndFYylqYdhTxN2VRJ7kdYlxYB2yOWAs6RzD64dp9i7HTafAS83LrxlotPX
gjV8z0aC1YZEJ80EEnwFl7HT5tbG8e0NdxlWudLFT7EMENWje9LFm9uusq66OZ/JqLTanfAaPAI8
w4fVth/dlYO6mOj3De+prZfoopvyI1ovNgFdcm0OjK7DpCDEqzyz/rslFi6WJYBIhcicoImYy/8l
cgf3UONz3yYDee1R2e1XEVwt3fLNbqq9W09vlOXtqXKm+2kgVcxa1Qe/mTgkp/yYKP1vMBLCvLOW
23wGfpcU2VVEYsfl5PQ/aKyDjewt+yS0nT4zqmCHXivydkvNns1c95623/eUFdeoHYKLVpvz4Ysw
RA++PPtOS6a554fvOJfVxYQELUyCfd/OR516sXgOxsKkf41cxcxpAQ5StPwKNrMMp4+9QsUyerzF
IRh3o8rWJ6dtKO3sRSGzpVvo/LO0lo8y64rYKrz7MsnSs0/PtVbQy7gryXOsd4XP9AEi3Hu+ttFJ
NsH7rBstJ1wZNyOsYMA23MkOZVHSXyFnDuOgV+1FE6BtE4FBoKdLtOuqCWLhuLHmhZ+YJ2o1lS7/
w96ZLMdtrNv6VW6cORxAAonmRpzBrb5hsYqkKJGaICiKRN/3ePr7JbXlTcna9nGcqSeeWCRYVSjk
36z1rU1s+K9pyYSknjrKEeJs+7ArkNQxu0c3fKwE8QSzble7oJuJMOjxcOaHIRaooH3xGNNI0Wa0
LeYdTT+hgpYvuu4nHwrmF7u0dwlzo5mB8/nP6fTtdOIg+cvTKX365S6TH313PAmYH2jsJIPit4Xl
7zNn8RtjY8tkY4n2Qm0lf99loodFwGoyq0bDgFHwnVSW44n1JqtPaF/fEkX+xvHEefbH4wkJio7g
RHISWuqPeH88OUZgpGktizMhXqnSNyqG5jStRzDc+CIDYz/w7EjNaZ9nNPkLLw8fM885ZH20IdNw
W6RggLtqH0vtPGuo9y3K9jR2iqs0coozWIGPk249kAmrr/Cd4OjV2nU/JR/sGhsW9mgATAG8nSJ2
bsYAwB0BY3Gpr1MAOsWKeZpOzJh+PQMYWCEv77fEbFLsSoAMud6GiM89ILo1ErOAAR4btNlnuuih
i9x19pCt2H1BpSzxV0wQK22gv6tQSVn7Xr/vWZo68bQeRAskyEPPjme7hlIln21eJ70av7fyVH5C
jzlYJ0+RELH4mYhFdz35KNE6jmVFBtozjvT3aQkVQQdjVeSavqWlTI9SasMV8Ykefr0sX1p1fB9V
Ga0U2Z1L8B1nfM1LJjnRYphp8e3uQx1VcJiT6h7V8bnkEGV3NlwRpFttzMrvFn6Zd6tcS+GbWXq1
9JRLOqm6U1nGWEDgQG3AnuHwlQeZC3Sf/a0HjBhxRCwX82DsHLOC+Z5EX3vDPAX5fD2LrEeIaZng
feuHtNWWfld0iyQqr1Dcx/C1ORUC5LbaPLbYhqAjQYcy2drGENEERsHWvkn8iX4Y7RmosmBdWZm7
GbTiuRKCVCm9gQAJ5LzSthQ1V5QZZyPtjibhHEsgcceq557xu+ZSRTbupIS3Ru+nbm15eGRZ4TUx
mww2sY4Mkw2hTxpWhJjIUyNfJaW2JQXwkowFpDV4WHx6UQ0Ewr4Vtjh5+OfW9dSPJMbgVBAJWkSz
IPsytdpmHeODW6RYT5qgIXJpDDd9nJ8Cy/88VT3tB/aPoDHtlWz1j1ZVfY6x8q2MlD1p1ZLoGQU3
6IOujDFbEc57XTXe19oeylXGAckxau+DigiW2ZZXbdeco6KptJsCfcr8QkxrsnOYI3tJ+RERDWm5
c39k9mad8i4pD3HrPRaJftvKmgMPXlyVQ/cOcMfZq7IZDl7LCl0XxyINr6OiOIwxmd1FeiGZNVlx
6mHu9rthb/vydbY1SHLxQBJI1PlOz5C4n++EPZ+CCqqLkUbDBk81MnbT5rrIk9J6OygWDOhRkOfm
pZaPjWLFZJ13n0MpSYHI1ILpWdbK/QBeBlPmpZvFzu/R006yu+Fht6gB0gghS2wnrJ98YDVm014R
6oYSwG1J8oluKcAVPOFuLkf2CYp4Eyr2jahbvigZmlsvMIC/KEaOCSwnVdScSvFzhICkUyimjtZx
5+QlXL1cEXcy0DtIUB8cK38tQPLAY0vQuqYf5zy4kkaiOOB01lKRfHRVk1CvfXFVleJRrkSqbpl0
/ZKpSqZTNQ1c7RdTVTk65U6n6p7MHm/Zupd7k5LIoDSqLP1holRyKZk8VTtlqopyVT014gvIVYUF
S2FTutOWcfBKL+uLRymm2/EGqh89NkVarKo1BMI7pPTewaGQc8lI4sr9kqCoD4aq9diKwGZX9V+p
KsFKEyfAasXFoUgExrNDrxstc1U/OqlYCFVRRqq2lBSZvFZstEnDvj+qnkJVibaqJrUpTolLew28
54iStaF0TVQNK/gKMtxPIce4l6wVG13Vu76qfEtVA/eqGh76eIvgwFlEqlKeKJkjfp2ramgpg0NK
UU2UT8L2jzrbUhU3Hyi1txhvVZYLJkMUC6o+79x8571V7G4d4OWE+6qtEhdqL1kaakH0WW/maM/j
mCUbxX9gjRstrO4EXYGt2oMgtDtAx7QMHr1DIjDCao25rVVb0VcV4UM0GkKUdx2dh6VaEM3EHE1P
IpPyelBNSkm3ErTjrY77iyTRaUPI37Ggr9EMGpxwnrrNQM+TeNALGse5YUMXr+d0Npf/1FNv9ZT+
p979/5diQXv5Y6evfup7KYW1CM2XifwVGBpGIlw9v5dSKMaUHUlKKpgfSykC0xCXUEr9ewjwfX2P
HEBxaRz6f8+zDMv4O52+8YfgeXRpAuG6ifGIv9OwGVK8L6WCGqNzbLrpWTOqxyAidnHu0i/GJPep
gSc2xnjSAMh0JJ7oHkm9GVx5U3U9uKjk/SGr9hmlgTL+LGvlZQmkvqGGuBuUy8VF777sg+lKb/2V
rRXMUI32Y+Tii0kxyITKKdNr9S5NmiceUaD6Desr7LBmWWrkLAZIjUYMN4ly3hAPNa1wOK7tCau7
ofw5eqexnczkSPvctUtaMwyak24vW+XtyTH5iEnKlcD20yn/Dz3Zg6nKKNJxvxa6fSCwDiOHcg0F
Pf6hDCORDOlIcqxFs2d86pXXKFauozAEGZUqJ1KsPEmzcicxtUaG4+9NrJ+T8i9VuNUXAkvTHAan
1smPrKOPIa8JyCUVWibE7RAlqz5AVJtgkPIN8cGHB7XpSRJaoA+EeaX8VGWiYTlhw5aZE6Qet/zk
StxXNpbPDmkQo5LgrhVx+ZlQ6I/TbAENcZtzabLRTI2ByLOq/oxhbB/lyTYrWe+geisWdMIFDDU8
66HvnsJAfDQrhppdNJyhsNtrQsXmlZAUQrMXIXpDJrfViu7W1MKvMvWLLQHULHyT5FjYT+34RPb2
xirtp2Yyi21X05p3eN/rEof+R88I8zuyQ8rkJQrmr8MY3s4mRnuHhSO2jjp03afaiK997m/ckbm+
G1tBNV/73tnKfNaHgFEsr1vng2PDO8A5o4fsFkJGKddmPHMuREU2bFPpfCLtYeVEWXgyx+KFOF88
uEXgsV61ySb6p2/8l/yVx9Kf9I0hKMinPz7nLH7q+3OOiSbaV+A01Ed47Oz3vCzFKKFfA4j1L/3/
95bxm2uAFk6NNaFmqafjv55zhFwJCivbe3Nd8uN/K99Bvslbf5hokhbJb2GyKjGBYtr88Tkn1MWh
QaQXnXkXzu+uWRj4rHvHDrZtpZ1BYDCcw4udpIg768ndVXgQycElfqAf3RdqvxNLkw8A6NIloHqs
Z8rm3QRM/Fxz56bdxsYHTqjLbqA4zzItwaeMPcw0HhuJSklZyM2RHROeco7h09R2Lw7KvgHPOVZs
2htc6NVoPeOY3wYgQGAXoQzRoqzbob7YAXw4NnjZ0Q7g1o7XcINCsgH7K1sU9w7u90Fgg59qK9qG
s3hKEeoJXX8I9V5uHB8NVKls9DUoejShYOUttvRybLE/8ZRqlfvejNdJGN+REVHCfKL36UtCHQ0V
dYR3f7AVkF7Z+U1l7EdtykAnx+zPXOzsmelX9PPldhKECEQBRas2+R8wHTIe6saVrvABrIJOiQIK
RIFIyD0qUwXMlktnRLXgQCBAbYvUFyRBAJuANkI7ZNAKOre4CRW+IHe9g/EGNJDtyYNwUNEz0Pzf
QJ/U1p2CIEw8FIDxvhoKj6CBfR5DJgIW5IQYggJWU+ZZqBsoz8xsOcFZmOEtwLpgMa02cy6KYBMm
A+f1keX4K1pnexfPo7USCuAQNsTgGDAdujb8FMb8/YHCPcwK/GCXFr07R1ypoBC4cl8KKBFak66G
oF5YSrOFTIROG/lXpI8N0lUAE0UePrB2vh1rYssLrA8YsrptoLAUlQJUtBNZF4OCVqSEflF9ArLI
iu5cFO4nCeHCUaiLREEvdOgXBhQMsAVXdeRFe9gY7lIqVIYlgKR4Cp8BPAzqMEQN3yyuMTheVQQQ
M+puUJVB39Dj4rGKq2hTpSr0IKpXo5UviSElNLVn4mwA76gM/SKAeZSSJVxi+McazEeTl/ed1m+L
Jj+FRbFh70jEQMZBHjS9t7bsgV5JcUNcvX+YFUgE0rUGWGSISpy1ijWS28UZ5+EniQqvqKCRJF5/
54InafVDNV+3/ckHXDLp3j4AZGIANBGATVI5nzVSP9Fy9VuhVg4du1w4kxxlM6Mhm7k4N2jkL20N
iSymat5yfmmeyXIJ5C9jHgEiMtP7VxS2yWrMTNTLisViJs2XETv/AKTFicduX2hVTL8PwcXI5T5U
TJf5De8i8Msu3Nwbtxo+7bVUHBiSwoaNp9gwNZVCoGgxyBviTdZbXzvZWpsOpExh9g8g059Z+sZr
IhkV2WO44POBTBrZeDJbu13zOAJTI7tc1EcqmfbIs0el0LGIjsYKwHyetXuZg7bcmF1py/v+zU8U
YuPedjiE+S5VObFQzoj3yH3zIbk5FmY0kMJky+oaE14lE3bbtZYj07r75nEavFozKZu64jjIPA0f
6tkS/Tlpyx36NmNZxjBFCyuxNlEkA4zB4M3r4LbxzR4x13iwrLzb1Fo9bl3NPkpnjFYM8iwisuzn
qigaEKU22sLYekg0AvXCHnexoc/2wSy4mVkLJwv+uU5nXnwufespjGuxal3oJ+aM69IL6THDArRp
PoiFriunUQtHbYJxPWGaZKUdbxiznKy8vtH8Dph58ZlO/3WGGjqM1BMNAzqGADJdNuZ4CKe91Nlp
UxA+RUlxa+NRgkpNJhbjTLYA7XCnC+qVxrvS4ukxDcXrbOj8lkC+Jn32kbTrlTYfkJCjSZE1eWz1
baKGkZQtCwROY3pMQ+ekJyk0+7F4GoJ5H5pmDZ58JKczmtGXiOzadpIZJ4THBgvxCiNagRBJzisI
VadZn+Dojv6Sd6HcOTnTlabQ263Johz5fLlyvMghBQe3de5rH5AkgO//JOoGgrAV+6tQYxfnJt7A
xetu4SXeDh0logwAkqjr8bMPLvDbbCwHfKrDVenCLnRdVsuB4ZyjIT/R04JfLP2zl0eINhpm+u2T
7Q3TGqfX3cTGjM0DWz0fZAbjwe7e7wj06/BfMG89xBquaaebH5CThRu+dRb3ADw5qQt6h6J9aTzv
ngf0Ri/TqyQLFcTA3JlxcU8cz1aLnJFWAsr6YF56t7z1ZPEl4qBbsBC9tvT2aEm+dz0Tza0/GzXS
gHofKOTY1KKUFNKLF2GS7D2JoaMP8iXu/GrbyGhYRlZzTqLuQiWyyUX7ERHNrkzAZFkdYPyps0Zk
rFkPrEOxuBLf2RJ4Fy6hhRU4GvptrmnG1ma6s295Q5dNmJ4hN8QLFHAHXPWsLm2mI814n+aFvp4K
DkEeWRskYMFWG4xjClhyOSkbWM037RgYAuYkqlUNNQqYLz3bz4KEqZ5otMXENHUZO+besqJL2MXA
qIEzaDmDZR5yPODksJtpNBYM6S+i7mdEZma2sovxOS+CT6asQCM6z7Nl4nPUidAlzzEJHoAK2qvW
jPZ+Vj7oBcoWq74bQAGbMY5yMSXkFodHUQ9PMJAQZIoXL5kPQRfdEMaCaKLV73IkGItck6hqUFf8
M174Nl5gcfGfy+5t+pL/wqur80Pvqm629HRJVNdMEFRYyu/TBcEMgQ0J6xEp8Z7hLPtuDvB+Qx2L
cZZ1DF6wN2jg9+kCpjNX8Lv4DyoCyTjgbyxqcHZRVf9YdUvkA0gJ8LFZMFt/qrrzqXHE2LkeCC6M
NWjA5nJbm0WQ35haHoq1DLPG/+yZor4BuZrbakOTL+feuyIG9arOPSjlWfIlqYrDxP3VizbYTKCw
WZGaKbjQ2pz3+WhW6673btC8v6Z+Fi2dmjCMToBBEhQgsMJktdWDcuvmiNVKbadF6RdZj+YSS9NV
EA83iWCEaxO5inh8B5tlp6OdX5g1DwcG94wKpy24rmuBnDISOnq+UKabTp92k9HX3PXGlxhP71j1
cl+7zgOY0f1cD8+Iq06uV6dyTRqU/egRL9LCRVqUsnihw1glaYzuz6POS/SiYhOlbUbscUvRG/Aj
gPglaNyHlnMmMbV6XTJehkHt8mpZ1ayaAggKeFNaFLh4ccP4OiHSXVBghhbZ1CZhc3Vi0rTXAUj4
wXhyk/qYYK4Hic041Ci6x2z0P3dxjIS4OMOpwuKb+XKTNUxocj3fDxHhGV7UINDQMrnSBwvaA0fp
FluuuUJIn7Gc8q4oBm4yiTE1wAYcivjrlPXuQndhQtWF/9ElL2thBtNTLjqAJYbxSrtBJd/th3a6
imvmKxwZOJMbh5Hq0A1XBcOB1WQh9R/tljCu9CXT8uGBzxND4ec5s08U1Ms+TS9pFR90278bSNhY
Qi+Mm5XxBlWi+O/QxEVJoMDFb+QlXMlgmMZAlbyNCypFgmmKXBf9SRaQ9i4cLTw4SUEliZBqz/vC
Ss/CoMj6zvXuwLSQuZ5CigQMV9AY9HJi81BLK12l3RhsDUKw0oWT1+IK/UT3yS1sd0eijv7wz+Pw
7XFoITP6z4/Du6hJiITpfjGH4OfePREtyzbwPZFYjfj1/RPRhOXE1vhfVlsln/rOSiXiAhaq1Glf
UWSpoeq7OcTbbNb1KDfVMvxvhU6B+/7DExG5F5Ng9dy1+VN+eiIabAy7pLaLy1jr1Bu9NeDl4WvF
GG8XOhRmaM4RS+P2OOMX1o96mtFj25GT7AF9Fw8R47ET6jEG+qZZ3cXUUTs5ds31kPjl17L1s62T
4uUMU5SCSpwYLUto/mix6IkvDQrqcxXH1qOm2+3G8OFbLSks0tWc+/l1EpTeV1cLb9n1gfIzDO0g
MFBsZ9fO7lt3kvgVkUANQnantgnJ8ukUOMHpNPwFEr622elEBZiNeCkw6T9ApMp32E4wF5R+89TD
WV+DGiXhr/aGrRMP9bEL+/JmQKeSdshS2ZaVq34wLPjSWm71z0UD2eZooGSfxg1OGZwxc9tpL0iT
4/A6JDK6oqNv8vrshHTPTmCM4V0YexS9Q9cAP6Ymc4Zrl2BoG6iOhQ4L6e3gOmTj9OWgrYg6SqOj
reVMD6Iunb7EvagwIwzexiNR49EeUvOJhComqJTq+YatDf7bDn53OxTzkxIoIAQQkU64MybcKABh
4Jd98IU7KUIKPM9PfhPOL3Y0PtRatcmD6KA5LMUygxZvkHW508ohQOVjdNM2mVyNCpDHYlKMJTtc
L0G2lhXogKMhiDZN1gJIZfXMnCGpPllQBvepZ9yb1KuAIkAehfrQY++qW4LEG/vODcts32rEmJZ6
ZV+PHpJ/rLeezrZMFh/8Rs9oxlPvi+YM2gF6KKaLMTvHrqGt6rYft72GLG49pFXVrkY/Kl8drSC9
svRzgs/dhrZptj8HlIGr2XPi+5Eu98qJrfjU0C/DqwS4PczOdNUkAHjmbtSO3LzB0nRyDGpB7T/g
4Bju87hGcFaM0Z0WjeUl7Mn6yz3TIUnMsnqEuo1lwM/0wpb5mWw4pymYlwGWlZ3oqUZtVsSpeXDG
wURTXbskARe28YLWGH0w5qqFR6m7aAdX/jMR/jYRFn+qJDq95F+L5+hX3lX1g78/jMVvrsBm4IIj
+FnmapGvIFwD/7mnA0VALPT9YcxaDLeI9DxwKzwl38tcofERn6Drzt8N/EVl98ODWIXsqEEwUD+X
htrBKMv/fydxddIWEq8ItLOhpUvo8Mg3rPnFH6BEJhLLaWfqG2nErPJVz0MVUN96dUZX7vQaRFeH
qHKyE7zMRTM+UQw1Rv3JdyNnepaa2ypKr9r5UyHElHJIZd0ZXQZKtsbywAm4TJvHesC600bEpZea
t6kN8ZCXif4cVClhImIsN0XIN2DoWhIMgp77t+Dfmk7FGCUR9WfEMwZNMu37HPbyMOTOIY5rbFrw
YyisybfrtG0ncJiONLJ9xbwYkjW0FtHDSplOU1Bg7HLkOvSs/trNQZdmipbKEcoaekIbM+VokGrS
VZlxIxmcvGTtArdZCL8u1zPyRaavzSXGerLIpzZ9JFt3ujMM4GOMOwmguI6qIFxRIt7Ecwt7UBgQ
C8E8u0N0ZvT33KDjsF1iHKwW56HbS0YP7jhvW2wQhxxFwUKa0biH56WvG1mZTHl8zCTuqANQLV3a
3KjUzgRaIA0mIQ0rJZGEuAkqq5FEnBVAtd3Y2eaNldyMvX4uyjDceYkWsKvH6UPM8hxtNG2V+wV0
/RS9fzwQ/YJYazELJ/cQlFnuqnEdvKNxGAJfxrbs32FELrdE41EecmPn+7zu+23WFNHBtzX3FFkD
FTNs/1MCDhQqqKHwoEYXMjcCGBpCDg1YWy6GJhU4d73HxCCU0YczqntU1CwDrpByZgs3ns6pgpKG
0EnDWa4qVo3nKbOIsVUIU6t2E5w44AK13t7XCnSKdsVYEljPEQilT0BEtRQW1avdpTHKjrXiNAgE
wh1rOsmAq1Pcj34Q1qmXpXaYTGdpoAAzL3ADEkXvmQIenixPl6JJAsDHaXtVV56+QnVlknsw2Ju6
kkDIraJYaUWxLWrmcQCKuq0Zpp+pFpB/jwYx9JjDB6arnLqBASHMd7FiZxst874KUAV2nN0UHRMj
8iua0hEd7q3yGu/ytBd2TSBfMe80yW4T+U76QY99H8nGS6uNxyh1jrDurqaQBAX2KdtqnIj3mDe8
5rM75Vcyyz4jLjtKI7rKQqxVUSf9U+4yJczsEi10GNyF0xjscZztEfMCZ+ZDckP0vANdoQbffSES
9ymAj7Bo7eiM+BVrTg5+QWv7bOl62MjsdE8+NnYOsmfIVx6KxGCc/2pTAnRttqlnZ8N5jUCsKRCf
67fooVZhGe+d3jpiUsfTq2jULcTjYUzv3VQ/C6u7t3vd5Sb1Cvvsg+w6+O78irjuVs7d3umY2mXZ
2gZ7t9TDEeNpsoz7/im0za1d98jDgpKO2700SX7rFuKrB4oQN7f50nrTrUUxsyLhA7H0vNESi3k+
/t8YtqdlkFeBuK7HO7egnX6GOfRhUPejkcT7ugsvxM6cMwVJiZVmvUATVqC74fKp1G/wc2JjmZZ4
Fve5r9In4WLN2hZSys6x8QWX8c5ukMJISthURM+2q+z5VEE0V0norMnyPuelTkSgXmwN9twLSKUX
AXY76oMdYRTgO7WrHqkbGqsnorHQBY4AArNXYYmlD9wR+uvSb8nbTl8Kv7vFksQdScIhxiLGmA8S
PVwzmyvQCPiF6qXl49ax3LumtUE4y5UMxltr9FTWskBTjk0IM9Y2A3/h+R53oI+m29HRkWavUxVd
84TbMJtg7ueubJe9R9CEe9MA2TXXD7rRYrZz72y7fHDD5jbop5su+5pP5Uul68S7j8bCMUnMsctN
4+PyJMEu1KdlYIY37PdORW/eCj9jn8U4tCaXcaA+0/Wd5vU7t2FWSpJsjIunhfJS85c6PqQ8W5Yw
X5Hm6d2Gr+J147kbDH4H00fkOhJVWvKGjTk67gqkpWWJZ7AJD/wqCzO9uZoaC9omIJAVS4zllA9P
Td4scwpTeAj7WXNQseF+7+tkE2ocEmFJID2GZJz1tsM+DkNSl39uKyCuBI87jgPEy2Il0ta73IU2
SDmLX4Q1Stw/DLX+qaiJLWCE6iOQivyO9w5Wbd7unFZydzrbXvY36ASP5ZyjFgFpGDk7d/TPvpr9
WNmh9w2WTkgW8i7aZCmeWV/f8wVblIMLr9G7Mo3xsQTqOtV6txSee+/XxGTDhc8beUvjrlN7N6is
5KovkcfWSgEi0yukYIeUeO7FkAanWj2o5uJhSlrmoITRlCrMYMCHOyybQc3k8iMi1/u6nA6GALci
cJDhKfS/AKVL76hfiZQR7aHWceTDEMUyyMETfwWceB+3mbMXQ4sC2GkfsQ0uBOlFMZaZJDK+2hmb
07Z6QDWxh+dx5nkLDK1OtsbQHFnb8L3EJLqcdeMxlE258czkQ1a36aIak21iGpc4cVnssqvOi8Hc
YCHa+URuDELL1tFcYAarl04wMCaahJpIMZPLL2Ngb2N/hPwyfS21EmtM/NRCwy05//gGNIhMemfd
dQg+6NPIK24Z5nfLLOWQGAm16DX3a8/iuYnYZSMbYuO5zouS508Tw9Af582Y5cepRZTZyg+FZARU
szTAV7FoI5bemPYPOdpITO18TyFiGAVryvY0a8NjU5fPnVuvg7jB+JGOp95i55fpHH/vxguXb2PK
/5N3BBtGedv8938xRXg3vPxWIZJNTeylydzAkz8Rs9qhrusuyrWznu2iGMBrcquhnP7zi1Dn/uIi
DCx006K0Fegm3peheKF1G32Ydh7dL/WwHbrHEWWjiR43/Isr/argNY1/X0n9Je8K3sIvJmP2uZJw
aZynBVnV63neF/bHuPscFfa3of3z+H+Dl+J/+u7xbUJVZuFv//mF4SLqXD8tgkuvfW67YxU85+nz
n793v3pFVMsUy1yGccpP751vO6PuTWV46S3YW9sOB0CKkzELthEhvqK9/vPL/eJ+YPFP02JySyCV
+6lj6OEaiElvo0uUB4vIhGIWbMvkL17TjxPzt5vuh4uo///uU2p8rZW2z0XiusZ9dEXPu/rfvQz1
Mt9doW9nQP05V6jLE8pvoM8fENr+xUWUA+Pfg/8/voyfPpoymZKyz5roMmqMoyUK3gsjWx5wjxKX
WHMWbAb//suCMYDMkvmehF7648tKIvQGOZk+F6e6qZgwII91/Ne/fw1gTMjhTO4DIm9+vIYPe8B2
+zq+4KdaZ5hxc6Yb6f2fX+RXb53p6CTNmgZSGu+nixRD6DhRNMZ8Po+5faV0SYSFEw7DsO9o9XBK
/Zs/v6K6p37+sN5f8acPixQiry6NKb7oo8YU/hNjur94GBjqj/73JZTuSxoOmyh2S4w9EYj9+M41
BVhzskCzS3xV79s9h+epWMq1vAlv5TJfY8tZaps/f1U/XvLbLfj+Vf10ybDH1AJTM770dkObjDST
HbAodn9+lV+/dxZvCScnfqmfPi17xgnVZnp88StvKYyj67Z/8d6pd//fb92312EZ6m4jZ9SBBfnj
W1c2IjKmRosv+PIWkyuoNj9HiLKCOP6L1/Krd+z9lX56wNERs3hx7PhigIh2b6R/V81/8Xj79SUY
e6Ot5Zvk/HSrRQSzutYcJJc8P0tU6WMkFqC3/+Ko+9VXiJvt96v89NEndR+2U8BVouQ5Bcphausa
LjV2IEiRWoJu9C8+oz+8LEEyBM5r3eAoMtgU/PgZCQ9If+ZgZmn7LerbwV5X8+3fvNF+ugRjtveP
7bwPeENDBIxgkljHBWB0/jXM/I9H9h/u5bdLYO2D1wzH9GdEaDyOmZbSaV2a9Fmb96As/+Jz+cOt
zAVctjJ8Txi8sVv48TXw6HQGQ0VNU+dlnVyG8T5i0UoY2Nt79Q/dWz1X//OG7Oop4Y164exup/3X
//6vb5Nc9TPvBrLgLtnTA+tWee3cRL/rBVDpItGFSQAb1uZf/D6QNbEwMG/Fq/AtCVfwC7/rBdzf
sMhLbhccnyartb8FqTXVaPfds07qEnmuAuG6fJHYyKnt3fubHCGAYepVLs9JnwZHLcgq/24cEWju
bBEl2wFVPAgXi0woV64CnDt7q4ZeJjtN7pgnFftsEtlpGHSPWR77ss3YTTGOdQmTHzaOK1V4HfbO
RRLkB82L5cmZ/Yr4LX1jZwEmHdoyb3ZfZMzSoZ8AEfq+NbPlxlmdj8MRKvZGczmNIxF3t23f7EU/
2p9Tep5FE4feeoBFk+rFbjbL7SACeAIYH3V7mleNIJk3z+pdOxvXXuO9wCW8iUz3PFfunrPlDrQd
gvvmQQvc8shE8liF3r4OrWhveAMWx2DJZu4uE/I+iMhvMl0PEW9ilndGEzxSGe1Nt1zHuv8IQuup
C03UQj1NeNL2wxZYIX+zhbrVRKBX16gHcWAdK+UpS2qBKiC9rsDGqJnOqcqspzpsz+2cv7a80eh7
iuVckDE6+eUhcxJnmRXtTnpkJDJlBGLMXBSz2joR8b1TmsRrONNh9rUHtw5vpoHmP2zjfRfQO1ZO
M689pgakaIE3M3w4kYxcxVA9klGxTQpQUtKs500wpfMyKMPnhgzS5VTCjiDNYmtr0SENPHOLS+46
L7GZD20arqK6/lj6oQVw+5XdnL6zE9tDhVfBZ5G4Hh3jlQkkwy3PI4WYneEcoTOBAPDBrV3Yil66
S2R9kwbNzutrlkk9NN+2dJYyILV11IPpM46TgxtYXx3ZEHfMLopJ6fxogUeF7/h51OebytU+9LXx
OJQgv+o2fHUY1W6KIfHW6MGuM4dg8IYBUW0ZzTLuBshTeEU1QwbooINNLLrnKeSMN6W5cfrkeeIQ
Jd23hhImIrv50lODXI1SMp3OlN6gxdLDekCpEHj9sA7fpAm+jJik9eht0C2+Ta4zngYr6mbm2SR0
pITJ8Y7PSCMgsberhMcJUlU1DvfVZBwuZ7ibGJbPfBmIO2d+jh9luCnVTH0cxME0Y3PJ/nVhqrn7
rCbwcYB1hmasWJvcbejY1Kg+MUjQtdT8Pnub5FfMx1013XfUnB9EV7uYQrR5et9vBjherAXPoNdw
qrAmMDv0jQ6LAxREZDam8XVlkxMkjE/s8Ka72tCSx9zA0Muytrkw4VkZaifhttyQxF4iL2fY2Vts
TrD3mAtToepdtdfIhKdRt7PrMIauvwYZuB7VHsRhIZKwGEnUhqRTuxKkqmxJo+ZLzRrFgGK5gAqx
z20sn3TyB8S98kCkkLsq3vYwbl5/Fmo3A0N0WHdqX2NFWHtztcOJMGVvtJK9ztzO+nPFqifOMh/v
Jf92UHugfMZPmiSp3BaZ2hdpsb7t0T0tDLVDIg84QyLgH9FOwsAYriO+USxWu0NMKlw48Kp1tHdG
UBxZRm0RCbTrwmMgGM/1ySRJdDmGUOlMt+MTmiHsNXiS43DaZHl2E8qIROAYrCEoyKOLyQhetb6N
ZPKo9yRja83dnPQ9YR81aTpEleRGcmq6GikWVvIl8Dg23uXO7hoGF364khweqxJvFv8Od/7JHbMP
zH3SK1S7F1blDFStyFtnBf7GoNJ3Mm4/TazWB6s8kg/yMhYCw26RHdpkGNds9LcOJMN/KoQ3DY3B
uf2fKwTSEF7q6Cn9RZXAz32vEgzrLdkMucs35SB14vcqwbB/M3Qkzwj68Oa8CWW+qwrN3yyTypGV
7ptOxqYo/14liN/QAkAItjxOJWbpfws5jJTnpypBMeylwLAjiV5zcUH+WCU4YVXnI2KH02iCwd0Q
SO06p9IhZ+hVn+dc6uB09RYvhhnpzrwr7ETlwvv/n73zWLLbSLPwq8wLQIGEx/Z6f8u7DaKKLAIJ
793Tz5fUSJTYUk9or+iNmlKxrs38zTnfGeNhTeGT3AUKjuLlwUCSeO9OC9MxvrDnasgxDd5rkdyD
C8hupgQ9RzU7xsZU+RUuFtxz4TjfotKLV0kG5UXkjdzAhyTYp5E1kURM51EP26cZmNdey4nFYGmS
5NNydMAKx+gdLiUZAosePh5w1+ToOzJfNeUwbWqbCW1b4btIM9JeM18oywSiQ6ufDoktT17REj0k
02STaFQ33IGGt2DsxmWQ2NNm9N1oZSoSRmWOyVIQi7iqRlzoldeR8Wlpr6kjrqUz5gc36h6Egxsj
yIDIAasrl6E/aZc6dr4MOTaEqnDFtrDjb3Mcv7GKbbDQ9CIDquEGp9KKp0dkRAHk1AiTsolSLoo/
23A2Xo06AlLLmmDTOyn7Axac2F4KvDshMwZCiQOxdgZdO1jlqJ9sxrJbGRmUXXXnnGoMyl4axveE
p2HRnx600sYhY0Hf17EAuQ5ETT+o86WnW84qKkaWEQlwQEsf0F5OiXYSET5Kd6oj+5UUNGjAukkC
QTAJAl4zVhVsdbkn62vEe9cbAKLPk5AVhvxQKJxBzN+ECd7X2mvJVg8kMopAew/o33jQjC6VFHvI
nus+96+yn1BnF6QNgOHlRUAUD8APgB6pyL3wkxMam5UIs/keZDq307+n16+nFwX/359e5/evn3+F
rhH81O9nl690JRwQAk2/6iZ+nF0kdHBukONo6qZhGGpc/NvZ5RLD4ZLcwQlG9/udx/bb2eX84qrO
xuMHTMGd/o86HJSIP51duFyUedswURtyWP48s9Z0ZjmACkI2utnGnWCKtg0f8xTMqNmmz3h/EWBh
9ZoBkbqKSJpnZAUU3U4HVWopZung0zhDLcFklB5HjqzF7MfnnHnXSuAayRX7tFUUVC9Ln3TFRQ2k
jwkLvYXoSiTIXndpMRL3on91gKoK4Kq2oqzKMHpz/HSl9UP4VBudvstBsobZECzdwCYirRXFpgPc
WiiCKz6FVxwh+apSdFcok+TmYCTewIL/1g/Np5nacBUVFdYjKHqZAYotkghcTv4+A5DVlJ7bV0xZ
tj9EMIGZtRVvtoPryJopIi3OLT48oLSoIi8Z0s1FPfAUycVN1k0pbjRQtjGbOSRex1gxbuPaRhQN
9taOmWTmJvAymba4WtqR4GAoueSS9Iw3hy9AWsk8wC23SCIP9ExkT6tUjx9YKt/ASsX8pXNyNybp
ZUPm3zfgebNM3BL+VxM8CPJaA+EbgfKN2pEsy0gnyi1qELH0+1CUSq1ArUVeCuF1nQ20UzYk6kX6
/AgfHoUz0sh117ox7U1rHjjC4w0yv6+YVaZD2EcIkXKdmlexiM3B09YELZ8chSm2sGFOXRDcToph
HFWEqaPPgGucZqydFes4V9TjwgFZAwYZz8ymAIs86SV01NBUqVYRoXEh0/4SjDJK5WpvATmGrEws
SFjNa1dRl9Mw+4LDCsyzAoWlis2cKkrzCK6ZlL69E7I5kAnOPf7SCfO93MSK8qyDHpOBgJTEpuRg
GNUdZplo5dIir2LFifY61wbthrO9NojEBAn2BeM4UJ6m8xedYk3Hijrd4dBk4QaJep68M00UlLjR
+azLHiyOLy75AGvFbPko21Y8rsJeQkYOJyQumnNPSPFbrwjYMmv4DHluumubkfV8ONxjSW32Aehs
Nn5YGrPAUXMAeiNF2K5AbQc6TWllpdYOufurHxsfyG+2ruJzG2Nz1jINVIDmVZjpc0RX1cfkI8Zx
BxdJQd74zi39cGsdxEwQEAxwlcg31hOetQGUefQ8IhfboCUplgTpYC0i0G8ySfZzh+yVtPcGiCzs
nUDl/1X29MQSFt+wygbE34pmCr5tUZAbmBAgyHaNZSGRguQ2UtqolEGisp1jXbEgqFQGIdzTh5lQ
QnD4p06lFHZF/k0SW2iY0T43vGPvcVcTazgTb2gQcxhp0VlXuYfFRDgVylpY9bV1h5CyBzJPTmJF
YKKnkhMpwPbF9yzFhAfuh7uGkEWCvr45hC42Kn2xIJOgIKj7UGjTu4GKCMYeDPVqhC8hp945yLkl
dzEc8SWDkWmfievsi80YlRZBp1pd3JvId5+KcRxex8CAxOroTV/vTOnZb2FS2Ie2KdPwJg3TEN9V
pVlvQegYwTlmlbzN/KRddX7wLCLABvZIEAwXPMY0Pi87q4ATO8Q0QQOfu7Vdjsita/21s7rdTFmH
wdfZRUTmUEnQnGCMA7deBLfePF/HHM7EnM0zyfPZTeqEyWNHubzOSsnxhFWTvi/+BlPjtgYEttMG
ezPJBpLdRCC8W7p3pt9+zab+qbJRKPEt3npB/TT7HYWmPt/4ljx2yWQvy1J/FyPneKFUsmRbiEGk
y7YNGsUSknzWguuU6AYWUVRamMeJuYDqlOxzBS9uzPzdLXq8iwaLcRfCsUziDwPicRGPHyME5LzC
9DnDRA4s4MihwiS78JL18ZT3xSpLdh6DhXwGvoTzrvdQgoNa7mEuO7CXZwyngYIxu1CZBcOFhVCg
ZnJ+mAFkw32mIM6RwjnXIDIIcwXxDCKfzCYS2VuFf57gQJu9LpbZQH6ZASNaxjYperV7CqBHFwoj
XSmgtM9EpYqMi6VQ03YIYL2ugU9DoU5Q0BdQqTV4wEtYHs+x13+JFbgaAdVxUCjrfmyRZMzPNoxr
eLlXrKTZ0oB+XSoMNi7bjfSVUMQD9g8oG5p2iEsYwmLHpDA3Ja7bqUfXiALBdu9dH087uKZPpych
fVAgbhMkVKzQ3IzEiNpFoE5xebAUvruTCAUkRG/fcTmfmcUlPQEImrxHUYVoCb1HxZ+h8+5Bgycm
b7WOr6dW1HAXfHgmws/Y93c2WPFC498GgMbbHuQw4PHMiLb/1pPf60mbFdbf15MPXQFZ5a8IPurn
/lBRKrCFi4IZfA5d558qSnASbPjI4HF0mtsfFaWnumE1xzbYRqMi+cPM3P2FSlIxKHyB9FUhFP+B
x+7XDeOf94OWjsXOEWq3SjusKs4/7PNFbyNLhrl7ne3oYAoaop4cRIbmeDpiOjH8g4s4SM9WSe+I
jGKnE+EhQVhHnbbPAcP5gwHmgVATUxyGpnxPOusViQ9w7vY8zuIU+tZujhzGU2RbLCM3fG2m9BY/
arJ2suzdZ5sALxtAOOm95XIGQXPMJmheaUJR5GUt/l8zOnZd4fG1gnUWMRXylQVhdnH++skHdd+G
SNmbCP8xfirofX78MggmaEXuXD276lZGB5ohEeiGgSx8dYoChgeu+uVMDASpuYnYY+w9ta27N4Ps
wSTKa7LmM1rrjzRoHoaJY41icVs43dGxZxDEvXMlhfqQtikNXGQ/msiA56J9Gwjg5KYh0FxorNp9
74agrWOaQYUckks8xJtSE8Gys2GJxW6qLUStPfuM92gGy5Vux6eoJoJhLqcj8WDtHiUZuy7SGzaR
w+2vxf7bCEnf7ruTBdniUla38JI2WUKskSuuYJ82nTneYSwkZofMTbMW76ZgypZqL70VPONg2jhd
h4G7H+ydmWYfpMY/lhppKBkay4UY48vU89JVSXerjwG0o8TJniprD5sXXTqnU8Hk1iUZRfc2wRCg
57IddH5djwwW9RdbP+SIcCvaKn/qeBhBxX2XSG2k6iGjROq8Nh7yVvzo3NnIM2MNgaVOUkwxeVQ1
k3knPbABQ/DVqqiGpeM8WIVzp2FSXWqtc/IzYEmd7UaMvWkCZB3daXawZwxonewC5/NYxQ9ekDMR
5qoLMrBlydc4r59CXwcXa7DwCXlSuzIQJAgRfLoIijFcQiXZmBZ8OOkGy7SQyaaUHa6UbGfPyVa3
UPYaZFPnHQJhAz6HZ9vlynJU6ItbvpD0ufYF1vPI5tWuUpYFiI6JbhtFA4kFj6DGFmExj1CUHOGX
ZxBuj9XMMKnsPNK8Y4J/pAa9bvRQqHY5ufR1cdQJpD5B7dh0XvMiHfdEg3rHHYtHVfrkHIl5JuMo
RnCIrn3jTwjpod+9lXl17/W88TYbqMmeL3oXfA16jc1Kb9/5pXfXDcFuMDGXiyDYuwoYZfOhX8DZ
2RDinS5rgfnSCJMGFSQrBZBQhP/N0zuwUrKxG+b8Ka/ootXqAxGDKz1x1mKiaxEpnEvSgVFQGdl6
QvEGlyEKLAwI87uWTO9t7zwQ7fOQpCDwRu8mMaAVgjOwUBQSAmVK7QkPUw6Dj2heirzoe7UnK+SY
qgLsbIACeK3eeV+nAyuFdUErskg8w1wZpHirMjvVtfMIFWot0W+vKanfgV/uprK1l4Wj8hVcWRJg
iDV1qmF+GhU1hwoPrxpyeAIjRIdhOjweFTI+0PEu+PNvhgognwBZLchbd0mU0O4qMgeajI+E5WQS
4LH7WJJk3qhIc4Nsc4qwq0vSAopFB5YM8efQqIyNgyeEXq4+BWSkjzn+gEzFplc5T5pFJVRSMtUt
Fa5eqJh1dnVsY1T0ekoGewAZZVeQyl45stj6HI0Wee2V2WnLiAT3uY2uDWgaJTAGMETK+xBnA+hA
YNrkv8c1OfAzZyW58CIkIJ75E1HxhfuO1vtQkiFvqDD5QdIs23r3qKFOWRKuWa1TFlasZfhQJ03w
SgDya91Wd0QUhbsQgQQLjG6dccDRw3b3pYq1r8m370wNmq2yQQ9gm1GF1x/4tDgqymUR+VcOui0k
BGwuVvMwBcNTYrTPdeUBWE26Z8uf9Z0wBrHC7UOWYBP3K+khBWMOByM+xKuWCnNfN/F9jmR9Lrti
FSRsz5JRdbTxxk79mGlcokDjzsKvjafeuR0aFosvgzxakXlL5g9NFvpFLXuUZsZbw0DRyYuLURYQ
alLRYOR2PgUH/VqM/k0vHb7alhbgJQCT4TqzXKeuJPHUslaFP5zoKe5639i5Y8rxK6f1PIl7TGbH
qGDDIsPu2W3ZJ+tVe6jaS+8A6LGZIoRueGNBgVmlhS+3RlUTEVTLZzHNW3Ym8SnXOP5nrT77k6tR
R3cEjbVjvJiFaS6a0uPdCrL1UIYHdqoa2S+KXCa+U8ymzjR2MJM+SYuLzkPe4hZFRWu7z7ECoNWt
xLTdVvN0Ed8BaQ3vszthTg69di3h3gDFbw5BO/tXAXv/qs/aTEhNa+17N7qQEgyJrbOmaTuPjI4Z
bVdrLg8GElW4yWxxNkoGoHl1cAI+Okg72GtqcJ9qy3ySSF7WrJjpFRttF1XWhYzScJdH+qc56Z9A
Uj+4cmhEoxHtvbbKPHdlJDpPncfYmKJYJWP6ZZSkytkhLageG4s2wFqVh85LNGb9lsFtvB6qaF2J
pmAaO2+cXpNLz3WOIS92+QEbSFiBGjPsNG0wLlTcV7OEkSKp4ZfAVh55+bnFRfoJfvTQGyE+jGq8
rRvkzV4DAB0f4iYf9QRwll6uJMDHhaiGl7wdYbOk9zbJfU5qP2Z+dTNVMbauOdkPFq4XCbiW7wkM
lnEj2vLBLawvHK43rT/kyzTiIyDpa0gb2HDACZQLirkiIN6SXbVwZ7HLndZY+HF2daEhL5Ig6tYk
0k7remz5PAxhuqIJJSvIadbZSDh26VgN1DvjfW5II2IHuHUlgauErFwocl/Y6Z9GN3WXRaathRyX
9uC9crVscPfc0b0f+ebuXIOVZjVEjyUQVyBD6Rm9woOXkBoU0CylxTP+oRfY2dwRufvcGOO5GMG5
DhJDbawJSNp2+JRNMApwze1neait+jyG4aYcjGTVSY9lYskdrTmPXdmf55GUvFx+pJZ9qBKR8rbT
8Yxet5vqqV3no3POaB6XTsZBqEVb3ZbOqrKtXVKQQKzPx642TTiQIJedmR5vyLIbM9DnVdh62kIb
YAL1EfJwMuEVWdqA35ixbSkbxg/eXO8ayyhWtR5/uAM1jDd2N24JYtWv+2Ib+k1zyqp6YmEyHIF/
exxKwTYhRm/rZ0NMzRm0fLns1JutB6fVDpiws60TFXu25bhwU6LAmHD27HB+lUn9K1/Sjf/Wji0w
Mn7+52ZS/dBvvRiUQTSDQAF/jPB/20waePhdBULhfyby3x+9GChBgcuUXkv3USvxDz82k/4vCGzR
EaBJQ+SPAOqf9GLfQ75/0i+5fOFUYgrWUpSuP8kb+3JkmB9G5rUZLR20Ur8fJqtaIVTAR+lURE9h
bavb6dk1cCA1ofWlNmlb/ClZ2Tp+uHgMrG1bR0fM5foCBMcZHUC98LgdV2PTX0aOA/xNdbEsio7p
Y/4ayXA9ZeldYsVbPJgHFg93Fc5QSr6JE6c0GjoZ40Q4Kms2zWUE7TN+9LN2Nw/B41zEzxy+LtFo
87h0cH7boXkV6Bd9kCtuWu0TuqX9TJ7mEs+pt+yjcRsm89rwym9WGVGHhvYh53tDFtKHhx7Eb+an
scHikxjM0ky2bAvHyvIVy9mlPsKDJSvzaRDdWzKi2kcUvDMYTDIChkhCaCElac90V5bmJcmqQ5og
+MKH8a1iLr4YtYKOL/WuSk5B0VldSd8knjhDtUV0WrjCiYbuJKpBHOphcGmcQl9FfjfTDVnzN4/1
3aW3wB9JXtwyyKJbI5j0RdTUn1Gr++eYLC/b14wFE8dpG+WNd23kmDEVH3jXugicSYgMK8mAC8Zh
jgcKMt9W9mO4cOre5p52w1s9NAXVDCPUCoHaIsu50cxhKBYyM+F6TWm8M80xXWtSAmmJUDmZs8UK
esR5phfFLgPHsCJmA6AqLtqNpZfBxgLpvWbnamxxuGbr3IxPIq+OTG+vSS72aF1hhGXet2DmRIqZ
mGPYkTi5EL+tseDDFVBpO3ocebwQYgK/UPnbNoZmGI91t/WNhiBBpvqksQt5R5nrbbtSwc9gnO0I
5AhWfQ+CCuKEdstOWjHLeabV6OCoQy6/8UICAeJpYNAHSmqtZR3DLfarB7tphm1oRA+T0dww887X
kYalsWjLjyJtuM+gKSymyrcOpd8AZQdXsZhm9RKRFvg2NHb8mEfMxBs06rupy7FiotbBlpiLKxBL
aDMlg1rJ606jrHU7b+DEjsip7ECNya9JRqmv4+Bc9yyAd3pL7JDNHDjIfcb/5MRmPk0QFnTMthZd
mBYP3qomUHvp9LED3Gq8Bf13RyQDOycDc8EyNdILSxzUb0SQt/n80aIs2rSloN/z0/osBXZME29l
WlcOLfcQnBzN7Znz5tadoXVPAIVa+q22G4NtZIyMazDjfhl4VO4MMjSIYm5JL6rY3kwPAj4YQ/EQ
bGTvH/LMcNbDMAl6/24Pbld5eLjXGGGsZZ5rB83Sd9I0H/sGGA7gjIcMOo4b5zeD2yw1zSWy6C2A
odMx0sfJln4O0HVGhdnJFXAHYsZABryC8Cgcj1RgnjDRTwa/LSKtue9JkqNTW4o5PQMoEYved59m
j05TxjND1ib72rgNXOgs2xcwgRC0nzpbZnQL4IJyBQ7C0UZl3Uf2ikZ6RAhBF8eYeJ8r5JDbmAzM
FYZIVNm108L7FD6RXnSvEJU4BfWS/BgYRhKW0Zg4zrpReCM8teFGMNMSkI9Iq6kBRQBDosZi4QUf
CYnVc+ewG3Q168Yf1T2vQEq0//yXCq7UKcxSCW+pi/Vd6vUIA61gEyskk/Tx5cYK06SN/oqi8LNR
ACe7l6sgMpxXkEAZLSycJ8hxXwq4T3lnvzDjtfcSIlRczx+jQkSBttjxpNNNZDDCyMS8Sh0X0Dyn
jA9gyqDFSkCULPpC7LTK2U0DjEcFpdLkcIuF7ZQajbkkDOmj9Xzgf+ZFwLPSyKYKh4hsaYNiVfD/
7ffIk3LZyO5bI13oSAPbuGLat5kVrTs3XWo44QNlYQ01bLfmdIza9DZDEidk9IB7bx05+c7t6Jy7
TD6ksl12BpO/PGhcIuNoHTxqRdJmdRzujW8Ah6PS7/JpwT2mTVvS7hvvRmasO0InvyOYpF7/O6r+
Pqo2/+uommC5/1l85rL9i7R49ZO/F0hoHIj0NC2MQ/y1ahj8e4EkfnFwJhj4FDCLq1Lnd/mD8wva
BwRVjDWQQIBa/l25hdyLeok/cjAo2lgq/lF95CrjxY9ZNfpuCi2BmMI2MDcpgcafZ9VNB5C9Tzzt
Ak8+Zki37xVoM08dgnEEsqEEjazGgngZR9ktqi5GJ5LR6lAR7T6Rxp7GLWQ1xhNl3MVLBs+0hcOE
FKnyhpVsmo8hG5/Ycr2VenWmd97PQKFPHOj12mLVFJTmY+jX20xkMT1EejcacbVErfrF4WyHBd0s
A1O/9XVgQIMX2IR71c/66H4bVZJmPJTIr5E4iwznZDJjANTceU1v+GJ1FGhSEKOSMDGKwxLxFXGd
OUPYBT0g7HQIPhZw1EXTsWkFSQQPVSV+zgMh46tgtN7K74Gg8aDCQbGFD7ASiqYtHroq1ksAbHCY
V5RzVGqgiUoBFKFvJkBFeufifjfXvZ0PTOjjmy6eWjgVKSJtBoGdHn9tXfcz0C0fIQhqbrO9pP2j
0UBiDyYET4PPCIOUz3t3FMyPM+MtToGGjkxc1hOn17Ip+qMTNM2h0vOPygDFuoIIC8uS/RjCOCez
jNvqex5S5EIrJiZJjxDSuh379zHRV6NuveRW8cRlzHx/HosTPeG01Fx/DWn/aoYla4ji0ohmm9XR
JiWoabSDFwKgaDgTQpwKBhLEz+l78PMoUHneqFgZVwROQT6qirPg8Tx7YSsPXCghUSMEEHkqEjAY
zOwaePpD6qVs1UquFjZyRyuTbQIOqJJPScNob12nDteJGLzzbEy3BHckC91pVKxe4a3rUr9Xxv0A
2SEKMvNahf5GG40dyaO3duzug3TeJn23YywILLwNH1ovu44+HLnRoLXXe5JheOeHchHFdre3Mopu
t2BkwLZy8J4yjZgBv252RK88lPl8qgd5X2fdi2zFToyM+OI0KpdOhV52liZhqOyVdcEscnSnE/Mu
/chbzj3WxZ/xyKi25rFpU2ivgXjbOCeCxTi7W3O234w6Wwe5HizaLj3PYXCX2VW5n+w2PJmadS+7
4SPXGDg0D3UnxNKv/Nswilcl9WFeIn1zBIqieMCcHm+RPO7kxEykMM0z7La3rAtZF7vOBsUcToOq
BHERSqXKmPmEDu9+IIq1ng2r2Zkv5NteQYE9G8ZwLBqNFDoV42B/mKXurPQgvp/D6AoI7LmqBzWT
f0orXax1Y9pUuVJ3JNol0P1tnOUXwGHeggLxo4fHvDYpufxwQkbfA91N+c+EfxzarqWPyPaom080
GEf+yxm6i2ke3MLGvO4NqbEREnWFM8NBvot0vIwLzQlfY2msc5viEHnRt1lrdonsXxt/2Ax+v548
HoLpvbVQXrIOpGAxtStTdOzqEbmE5cvkgkowMgQQTI1OntHdeaJiozwOzOhr80V29X7AgZ9qPfnU
nkVafAgzwbw1cl8up7k/2z3pgKOdb4O89vYYNXdR4oItTJ6JqTkhW310wWUQcKTftRGg8jI9R/QG
id49J5l1X0vei6zsv1gZXzWdCrU3rmOadftwomiNZb9LjQpduXHHh+RQdAxno7q9NoG+YUTY86nq
XzKjQu5ipZu+0W/Apx01Xxw1E0BINWh7a2KniL+uRU6UzcNuAKLhz8lpJGmtTefbtk9alAEVQvSa
lGk+sl7GTqxJH9HbvCXs9KzK3re19Ql54hAVzl6Y0VPfyHvbax7wl6cLLNEsMiN4Kd5Hopd7kXXz
YsbvQxb2aWrzQz4r4YMYIEEkR3DKb2Nq3vsptgSURsxSK30Zs9WwCIDLy/JqZ8VRut63f2uT77WJ
TkXw92v0Jf1OTeot19H7X4xv+NnfqxNib02LqbZPsDojmj9WJ8YvFpZNVNS/z2h+E2d6v1B7GMxp
0NvqqCaZ7PwmzkS3ibCcqsKxBa78f7ZKp975uTxhdoR+Xc1wqHq+e+D+uEr3M3f2c3gjVwiKRhQs
66rQD1zGFp+vIo75CGWPiKNoLkbt5OXsrGKbk32AEx+BZF0wr34Yw/aYeON9j5pmCgj5Kln8LrrB
4wMr54Mv26chmy5uZu6Zdi7A3hYItshvGceDU3bOciRUR87pwDekweuN0SZwgcszCf1mcscthwZr
jC4T5pzSNNZ1wp569kDKxzGLyJT+wm+i18lB5NKk1rSmhclWel0+WOyNF1anGUubKBeznHWw0ywU
kF4t6zx4BiS4ag2H5DY1GZfDh8M+OQ4qpDfC/VLFwIx6R7441QhjxsVvNhJXW9Fha4Xx4oTW1nPL
WV25m8irNZam2c5wOAt6gNLNSHDchBZ6wbjkYyqCj6wdr7qShttJ+yrRqZKqB7AkGff09fmGE5LM
4Z6eyAvLr6Fu0TGK/KVElr7AtWaugq79dAIDvA1bSVnawZFW013WNuJuOmby4j1xZzBWWllFwP7c
xv1WYL/iyk2Owq76Vw+rF4EBRd0ijOpJp3fl2gJYuEknUwdmNALMjyIo8T6Y8s7IG+Bl3oj0v683
XiHLVZBq07Jl4rhAlBox0Snq9aTLAHRRQz63XqRbzx/ae8Pu56dh7qNVoasFZJPq58nJSFMakuS1
qHvjQB/svPRNlt01tahuIuyOe0/U44kkR5N0AwDq6KTYIRBnH58C1ILBWivGU1fPKC3mDNDM6EnN
ww6mVcj79Nuk8MU6iobyUZ944bcBQtM35AfhN4uwEqpWw1gMLYGFieeRF24geI0Z3ffsIBdNLY+i
Mc64qXjVh3U1hCeCz1/xSPhLreoudZQPuyBox42r9+jnzMLfEHSIcW4sL1ZrtJsq48R165bdjX8M
AkZNSYrXOzeZeyKhQpxisWEshCeZ2k36pujMqARefO+aeUkr7yTngqblyOSqf/Izz9tT7HWLSNMJ
w/VyUqm0+ttoBNoOotRq9Cb5K/3l3yG8zlD67w/z1Wf6Pxc+8p9/cZLzg7+f5OYvfOmR9sAc/9XR
86PPtJipG4ZgbPZ/AWW/9ZmWwuxiEtYRTAHhMhST/P9OcpKAEEuhwUeWb3ILGP8IPM4V86c2k9QK
m4n/d9IEeHP9J0lUG3Rxk865cZMzd9ETeXLDZGn20/oPrwx1DADE/I+AIEKC/vSLeCaKY6C4wJim
aW3dn36RFuqEukbJAC/PSfYtkhprDZ3tkMlMLgr0FyypXIYrbXH1p+5UJeWja9TkNTSI0ocsJt8D
v9Gxr5E/8h3Sl+YEBkqz2fGi+31BjYVy3otAqKn5edSk9yW/cEmRd1PoEg6ASxSDV1GeeVqvqKqZ
ms2iRsjGpc/mgKSiZiZB3GHmnOSbwOk3hmUjjiX5AWEQDlzXekbYcvYtJNg8zReqPJhQo31vGuad
lo0XTbMvrRL96AqH53h4kn3ChoIs5AwRj6RC04OFPfYA5THu+vbW1ma8fN2z79WfbFzfwmx6rWdK
vqTDLpBO8saug6PjZnKDU2LnYOrBoEyUvFnXj4UT7qSHwzuNoiNDjI98ID+1xxPFsQHMOFVcXK1T
Q2Cr4Jpo5zeRgaubrfhqeRzM3xM2S3NVOclb54JFa/AIjFm3QHZx51bdlmpiFzqhxqahyXigpLeE
LeHmkWGjECfUJ8P0vHT9N7/N1jpa1q7ilmo6i0gSpoieAyQRP++WBvebNwG6BOB01voOtBlpw/T9
DsL56WIM3ZKwbAtYvJAblp83VRrFG1qy7ZxZ5zAMwkUrrK3f89pGih2sOZgsysp/owTZsRK6K/J5
Ik+zeZKOwAzd+MyqW2BiQ7cXNhj32tS/6HyKF+EwPaUEsWxHc74aY+4wMI+Rac31V5EaXw2am2VC
MlWR+nsX68wyYX3MRug2S7zV6BbOyTWhqzlp/oUc45fIxa2WOcWD05MZYlVushs6c8saBGVNsGHg
69drPmIotYguR1oRVe9IDcN6MxOUPJE6NCJM0kc6pcVk1JiqLUJoVro7bIQ3qOluPR7S1AbLMuF2
CMQePcFXTPt7aYtNPxeoraak7J8S8J/MoAeSYRa2BNDWjUKuktjYm6W1E6xzWp31l1e9B468E4n2
Ccab6CS/uS34NLJ16KnHmnY5+sMKI7bYo+tnfzL0J4KjIVZSYSEYZ+Db9JKJeji8OrHb4Aguz6HU
g2VDVrsHICCyGij3ZPe1zW4Y2peZRGUmJDGsTR1SUwHpk6+smSc3qWEfU03bzynroiiMojWSMRZ7
vfzqDLQiKAgJdO3EXdQ625HYk2QOh+XYMYN3Snh46+zB3UcWoP5W202O+04iwNtsE8HhphOpUUA1
rXv8NWxDukPJBClVbNK8XhJ3qpZdFvzt2VwP6Dx7w9zUImLzNJf91nTjlqkB+7iwt95yZNvtWAyr
QIMzZQ3lthP5dSqG17qI2ctM1lPb6t651GKrelDlUehZdbAj3F6k/98xqugoP6aC6hTlulACWogt
Nj4mhXP5g4K1aXAPBZMz3QyYKRbWNjiM98V5z2hBe8+fy3WyZ/a9CI5IFrpVvDX3//0YV0vZ//j1
eMWwk+LKYhPw519fB4jSNKebb3r3vQz2Pghzf3xDUrv457/HAGzhClxPaHZ/Gn4CCIVBOvbzDSTS
iBo6TT/9cI/P4f/5PX++/X59OXk9uQMFUyDwaH9+PlVllXaHHOjGsY+1QzAkXiHr+b8/l+9Em59f
tD8+mZ9+SRfpemMQGXnTb5qnaJms+53+1Vt56GDPRIWHi7t6zUZ3Y+weL94qXVz6s9w8NetgfRsf
hsWO4v4EfGARriCiror1039/fMafJ82/vgiWAUIEWgKQ6Z9RM2k3zyKfdHHD2vsS3Opr/Syew4Mx
LBE6r6bF4VVsx+Wl2gw7215mR0xft+wDN8R8Lr8/lH8LSYv3/O8Lyfv2PZcNpJHmPytJ9ZO/V5I6
lR/tIo5uROyqhf9RSYpfLP6VATzs++6B6uvHTIBi0TaQdCDrxeX5v+yd2XLcxrZtf+X8ABxoE8Dj
qQKqr2JPinxBiBKJvkn0wNffAXrLlrTdXMd59YvDigpWC2TmWmvOMXno954AR09buBw/hYui6Z+N
LIxl8fn9QmdkARZC5S04cJ1wFqs/XeiKoxhpPWblVUfW33xOUMQlFw3Br+63bZ5d27HsW8iX1sXC
u0L4/BeTyAS/1vP7XstKhn35Ser1czaVh6wpbjkZeq2iI8JOgjO9jTNelXRd2MzJjT70qCRBvg1P
c1K8fSSvlL3eMB0U5Y0Vzhv8NgRZzdmqC6LU082OBkKbnFv2j5GMTY4EfaG96qh26RKH2WYIUant
VduoY8ShogWxoikoppgnI1vKPyRMsLCRM4m+2tuLwkna7kF8iJ6MDwFU8CGGcl2CGE51EjfPyRAw
HuyNXN/0XZ8wgO6So90UgomOazUwvGtL8UBb1MkuLex+9mUdqtJHZ+6yXw3jaydySMdZ8WSzUq3b
aNg6uGq2uKhYgMvAswdEeomTDRujK89xoMq1jmaRVkoMWCtAskFoZhkwxVCDR6We962t3PakkxX9
QDuy8HqFwfZgXbmLRtOpxLrOdOIf48+VUh6zzlaQIHRnjqNARmAPOxHSZ6yFtz2WCIwWfhHIC32H
dx1BSq4MOzrDBwIwd2EgsUMUl1wfLzQOXtWpuXWjbKcn4oHAQi+yoKti7hUMKVYyq+6yaiYRZhEr
qtvBam7rFmzzOOwTYT7lNpEULlFFTnPIEo6LTk4/J3HfC/rkZiYueOB88ge3Jm0VrWzOQdxc4yl4
rjnTL/znStGYoESXucxBXaO9QSkO65xmi/40D+W5B+iD9uaCgI3APvTlUXRJAiYthnucGbWjxzok
VrKthPqiW8nGidtzZbSvYQkxdtG+hTaBp7WGl1LbOmI8aX3TrjpXvXR65KGHvNSC0c80rNtZebAi
Y5/RX1hlKHmrNN83GoACuLxuIN9ck7yeInuCK/xQqhGtamUTVNbJMJ2N3uVET/akNU7aaTDH1543
Adhcg02jnYIe7o6trSESnUJbw007Hocx2pcNFYUz1W+1rSPaHW/rKaVVFvbWjW3V21gM0UUE5nmi
IXRVY+/dM5WWC7mpNJgrYbbFQSKvOLyfBo1LqnPNfdY3yloCxfSqxv06heMFWrFn5sbJjsObUbbC
G6vYI3jI9gwpX9pk4vIzBHbaYEv807RRjOCF4Mnz4I7Rxsm7+5QwWEMxMK+YbePrKNlBQmCyNHII
7kpEZmHVK4WvR9oZM96tWcc1Q/qcmM6RXxzM0HVSKdsG0zEow3JXRalCTLydbHBjntuk26YBmdBw
glSiQH2uDn4tXecE0zXX0H6mdWE2R91AQRlNDT4Wmu1BejLkgrQZYFjKS6WjSB1k/qUyc36MWfH0
ATx5EkBpilsmXJmzL9vE8DgZwvmHjbEK5rElv7PDBKKjto/oySVxdYJOQRppq6xJGPnUYrLl9E9p
puTzpdOMM/XAV2FIRA2OvgOWjEkpxqhaJP2tKPTHFsK5YoU7R+kyWnBFRVbqcLZIVwDkwwoAm65a
uxU8LV0GZHDFldwk3XQqJdM+YcRXaSofekEHNYrG+1BYXO9ajNmgXfdOehVkfDWR5Gxi1MmD2+cF
UNLIheWjDKcZ6P0xoob/d+//D1SO89af7/2nsvmf/y3Ct+ztDzZ/jT/9tvlreOEA0eFb0w3bgKH4
++avOb/gZwMf/KuaU/tu8zdJFYGUTOcJZ+YHdO63zV//xQbAKFSLs4ENc/Qfbf4/HqSZNGiOqmK1
MJa+lMPs4ceDdOLYaIcKN7l0uT9bjMujrSmfvvti/j96SL++CqUHx1RGWQAm+A6+r34kqh5ibDlU
tCWKbK90VJSFaMIJZkI+6SeYjxgr6hpNLKTSXRWxzc7BsQfXdqtW0U0WO1uSSmME0yqsOU2x1prT
ZbgrYnWthtF+0PN910dM/txd1WkndR5umkk/y7k8joyz4zo8qEk6rXKi6XFySXq5E4pz6iIykXT3
KwU+d1ia8yDZrtQt3XtsUeKz5SOGon5yWXj5+9FW3BWSgUAcBmXOt8Ewkv+goFNLXJ1mQTeXNIGI
tFzXuvkYGK5NVpVlvOi50qwYJwKuUtNI+FEnK9JlJ1QfJV0bb3JSsvZCtwoSRoNFC2XHcC6YCybQ
UF3KWQfHRLQiGslwHmddor6TeratlVlYW60cxlmuK3JCbYlvL2+nYKWOlnJF30w58/wV1Aj0qsrY
HcvFkg2dyhMdDDc30jOvtp0Yn52ZHrpRCuea12uMF2sKbdbVqcRYGOJ4KznzjNeRBs1ShpN7dGth
H3pQWs+0UM0nJqkhnqMJHExbYKx3ytSiZMfKNnP46KHgsXy7D8Q6GytRmEgoO3WZ5Y5EBHQ47mUY
TvueOcLF7Trbb/nOT2RiNZ8bwITjhKdqGolDcSW5z1ToPlJndu+sH27nHkYYqlPfLTX3NpygywP+
ij1nIoW1rOjSj6nJiEbzbBk/ObnVn/jpek8QSuvXbaEDLsQ0MGZjfBBzF/k2Q4Ft22YaAU2BeWmi
nsnrJJutMPrdYBa2F416cxPiKSJlJj/HRXbu66bYQAC5MUuL8U6XeIHIdmDZUy801Gum6XetZvcP
Id6A95JgiIZeixhG8V5i4bPyxksDqd2rSrcJiS3j9Jz6rgLKwoFwNkJ6a0T1tWlaBFT128SmLBHV
cBQ+uGO+YQEB3jRvzZGpi9N7ePB3DPdPcx2RI9W/qoSZyVzZZIMGPlCu6m76QnYgFI8vAVZZbxAZ
mgs75E1Y/bMlsDPMwvRFkzZ45wDYKcN8Quy8N0L9zAQPz1n6XPHzNa2Bi96x/aAXm1B3dp06QzNo
/DAP9JVU5coIQix3TaHuicZMPG0Cnmbb13zGW6sD2zSSEQvbMGjWZq/GZ2gG6ToK9Js2Yxg1yPYY
6iMXM7a3TOKawgfDVZZPR5ebSEXfo7tEeDvOyamMEyaiJ2UmVxsze6eHN4WsTjb/7nX3lHf9TeRC
VtQZwWAY88NwpDeXomBkgLTu6rJch7V6SZX0hWiTF053BxQfxzJzDkmn3cy4vDK98MosO8NYwD4p
p+Ns27tKoSfsQNyQqb3ryDJHv4BAF+TCNA8Hp5ynvZyL4tA6JVyEgFFiVBDUEKI/JEc73UqXrPJG
U27niey0v155/4AjBpZehUJrUeHx6M8472jSYISIDKCNTHWfFDSU0T1SfPrJ2anNjcGz+2ATllG+
z6v5TatkcyNlqt47WCxXwCluO9xdmGy91LXRibVbGYl35Ckk5VQoH8OEcyU0yk05L2EnWKjKwGrW
A6EcK1P2umc77a4vy9fanrt1nDSPOmgNv9daY61BHlllxXqQ62bcaxX25zYoCM2ot7rZ02Yst01u
f52y/K6zk0MHqWdusoPsCJ+sypPT6O62HabSa6Z4p4/47mhxQhNRyk2EVSBkX/Iatbk1p44070gc
1MjlvjZC9RS0RMAk9fiAOMRELwUuU5/0KxNZBYdj5sN4ts59NV+iJtmng7W1BlLmY8wCQcERnGwG
KkuHWGLcW1ZYneDJ9BRB+lWMcgSvEjxmvV7xLmf2tYbZa32VJtkt1g6QjUWfeaLA5YUQCK5JfR0b
TY+1GcBqzbkNrQkwsTHGdU7uT8/FNHKBOgBDOf19TaW61SqSjUztOcknLzcEAaXmbmAdMprya+na
J1XSbw9d5WugiXlVMfcEXDgynczpDlfLWtaeYoaxuprRUZ3AuICaZD6qrZNmSn0zCq9QUmneh5HL
rBJnp5Ob84gIajjGsayBNQ3533QoF6Dd9z2IRZBAHw9ksgNkwPxZNpkQJjvWfR5fgi72jOQAnOlv
eoY/djl4SiSe6DIcWrAfrQ7jx0OIIcDmOW4YXjLB+VxcQf7YxdVtPXCyx/KJl23jJn/T96Xt+cPn
+u9XXT73d43friJP3sR5f1an4g75BwUD/8Ou+Ck0OXug6UrWrWM9icDY912RMphC55YVmH1VPS7X
RT1/KhX7FLe4bZp80Q4O2qsTmbYHkv0BndHghel0tDPzWQTE0muZITqupqL0u9kufIfMRE+reuY9
xTTtu9E2XsuCRjnQXwP/ZPwl41r1pSoijxV48lqHDCPsZneduYj+FAAwYa/v89C4jqb2KxDNHZvS
fVPXG9EMDDgsvAxqpADm5YSSDUWxneZOXctc0KwZCHyy4/FWjwo4fHGPFS3E/OfCDmj6d9kMZLhV
MdMRRgGDeT/OyZOppgerLQHMLsm2cWBkgGqZBArmT+mcHHWU48UU6J6RqSobTMoqqz71C4InTvKz
g3+nqAe/D2auYNVP2zCHJlZ5ZUKSXTUn+B+y4FwxAQvpZWgl2j0nHO8ikXCAq5T7rk0pXo0Wd5Pd
bpUqRl3VlZ9FKM+1mt/IilDmljiYRjv0tNVXvWWgV3dYETXtoZiiHUiC0evr7kLXwfQS/KU1yi9y
djr07fhTLHMbVubJRiD3N+v9313jVBTfX22DyRGD8lY548i9Di/KBtnbI9O4PTPIk8PWs/6iDyug
rmesJ8e/fvHFfvbdLfztUrcNaCHImIiT+fHFtSpyCgy0yplUz1Vx0tfVBvw9Krone0Nz+uFKWZ+e
ep/ZS/+Z/2SX6aSuDvEmuNCby//m3fxY2Pz6ZgymLgTOCMqonycekzqA7dGWAFX1miDtVaw+1f3u
rz/xj2vWf7/GT6PxGQGrEkVZxOb6FtbMM2/++vn/8DMgZbdtJOsCNdmPX2g+ItRUYwK4SuVaMhmt
Lc6cv65Q/7buLX6tPy/fH0HId38EWlz+7LfSHfT7osoD+appbFBc8N+cBhrAeJtgTyiM7gLj5Fr/
1rc3f0G1rdtU9qgz2M24Kr717Y1fGFrpSEOMZUK2PPQPsDg/Xh2L0cDGabDwemzNImD0p9ttVJWw
r+uiu8xMThfdVAi9moiYv9k2Gd79cF9/vJClk22P/JAbChnaj5ehlrW9FIlZgeiw3Ic0koognZFK
b8dEgRrP+Kj3miaY79DrhisCmkxgVUB0qjJxDvVSLGp2Tp7vrxUktaTxUVWKjwqTATzVZv9ReQ6B
BJWdaCX1GkJWKnIluxoQ62t+XFWl7pdD1vVQ4sMA91YTFJ8QCbq+hRMaMGLxxcrM4WKDAboyOxWd
A4fKDD55gGMt61GWZQ0WCTseSuNK7REYnPosuaqBMDMnKMZ15MLZVt+spvpaQAcIGvXe7uWuGIyt
pYgSAz+fgg3Bd3FPuTnctXwfTJP0DGx4HrI2pB/yPXKi27kyL5pevXdGf5cBSfVxxyfPJK83nhum
3Vmxq/oiG0scstg9V26eEVSFkbVQFOPdJG50ZwaReiEVrfLznvE8cBzL11HvG617aQq6l7NOpRcC
Mdm2hf0wacqnTCfRrkwiC4tpG4Ksh6wQcVlAXtABzfgEJvAULSrwVNQPtdmi/BBOEd02Ya/4KElq
3x3V8ZOZxag3MZazx6Ud6kKlnpCBzrdStA4QPU37m9gp/ceV9OMSM5e5+NILs5lQ/7SSyqmm/McG
cEGY/3lAWXE331EpreS63RWMG1bUsX6+tX3I3Gxf5sbw6a+u/y6p7GNk+vsp9GNFZ7HFO2QRnmty
JP3xUqfjM3RhE5UXGCsHGkTjOg0JGKgw3q8cG8q97AMUB/jF4hWei3No18FB4zcSqczXE5oYN1AZ
x+jzC9IDd9OQbLhp22pDruWLbWG3SQKFttM8PjE6oXqtyZG0GzrP40DBrEUJYJRo9CcDEadWrJMA
X4HpwD+1XAIXyDvQ9a1p0uGQSNFXsWuCwS92WCK80jDh86iVP6Bk1APENmkRa95SP+R50njcxJdh
JFZAhgS9NUb4EMLI14z8DOMG859TbVVaEBDpJUJbNbn7bnn9gybgj4sI3yym9SUMh/WSGajxc+ST
OxM3XuVBfVH7PNmyEIBNr4EsUD37VhmbVIvh579+SX050f/wa/70mj/9mspIknufhg0Blsazhb8b
90npzY29M3PCmSSlayjwXtkSh1TG3Mcyi4mmCaxCR7FOZex8UuNG4kJS3oPUhKshz3opbtRg/mKF
8iUfYulJugy/nl3+3ZPVv9yT16hbG37jn9Ndlr/6tiVDR2DbpZVhYvJDfvndlgwdgXY4jjm6HOy9
yCt/25LdX0zN5KEli5t+9/fyelrwoJLozLNp/3N5vb0cyX6/5FjIsB4SPINulLcAD/6nIxt3cZgC
bDSv0rmyp/0sytx47SOjDa50cIp5Du1A0RFcLUbVLrqbzBA0lDArr4BGvIA5GVRlMvU7t6W9ZuXq
Th1QqDmjAZ6gLz9D3IG9aMWfZ9mMVP9RwzxdMPWC7i2D5DqR7mMVko1Q5Qjzeqdh2Z/AFMUuWIW0
0wK6HSl6fiXvfUwwC4KlPXZF5SK0jJ96TRDYUmyBJtORH72ih5ApIZqSNEbzLSlvkHI9lqLcN+Zy
2shQAuqkOWOjajCp1/NnN6lvhIAq2mHlBnKkX+tqm507cy43TmoVIEdQpXFXvdMZ/Nwl0EZz8lbb
6W0YdQsSGM0hwse9LC/Oo24+VQX9Q2YU1c5sCgovg15IWmloWUqIYLPj1mutH4/GHCe+Xs9vJDJu
Otx8BMpsNeizTUUXyWj8ui497O09VvIqXde9QUYwisEhIN2FDIzZOBUcaGYLvn0X0hiPbPqG+IMZ
MyDozKpdjnN4LJP7DCdx2xY3Va0eIxzGQR6HSPLzm56ftFtMyOoY18W2VTRn44jqoFn5K2F6dBhA
yyNKAEBKMIuJwV8cHErvG20EgPBCDyLUfVjzYXFDE3OqsHBiOkZ+q36a5oTxJ1LFL8xYcMvXIGaJ
UsEEscEkGwKA5mGcbW+gD8hdWRJY8n7ctVN0MYvA8ZVhxFRGXAv4aqR0zvSMUu2+nccbrddeDAJe
VIJe4iXxRSzZLzYhMLE+HoYlFSaLiJiJl6QYkMJrAq76laXKXUKYDGHBO3tJl+mImZmWvJlqSZ4J
Q+cqWLJogDy9m4umMcKLaKXk1bT0CnezDZG7NP1Yax/7JdsmX1JuMuJu0iX3xiIApw7m7ViRiFMv
2ThKGX0JUzkzKZjmjTMA206I0iFW+5mzHLQxpgvFkrbjMNCtlvyddkni0RAsj0s2D16N64mwHjIT
MKCQ3pPoyYMVRKHvLMk+xBKvuJsx59U7gmbttWjLQ4HMYxXltIYl3fVIpO8NgUEVwUF9A/EgI34z
nZIL7ddjhVtjJQgbKoaMPd0gfyjBilEvauGE/vlWwpVetUtekU5wEUXy82yXPoKavUqwkbEkHM2K
QB4bkXqEvPLBJgZp1BW0E8MnueQjVZG7n0d5RItcHYOy+SSAK2iOfacIsY+IWFIQhEaqeIMufMmJ
YEpLrs15SWWqlnwmuFC3PUigFGZvCPK2XpKc0pGWI3ePeGmIeYqWvKfgI/mJCCgAIEfRAiL/2JP/
3doMDjx/Xm4u3vZDCfU2Lv57f1v+9Lf9Tf3FpdTE1k3FxS7CQ99KTrY+yxHMatmr7EVK+vv+5vxi
YGIDLqlqNPs/LPHfSk4bfRn9mI8nE+yN/6TiZFf8eXtjikBVi4DUJEENW8CP52OoQPk4mlN9NSm9
QGKidxp6k6Jwkr3oouIqNsU5jtDrCPQpAbNJpDP0y+dQvTUC8zatuzeOqKSRoW4hyf0YoXbpje4E
YnGtoILJUMM4qGJmfVl+0clMjHXQf2crAwUNErZNENqnBmVNOSk3NOwe7Kl4spBqIGF+c0xnVaPI
QVmxT1HoRIqCdxvNDgaGxxoND/SQG6Agl25C4YLGB/AXMhJUP8KZt1atQQELHyyJPYFP5Gf18IqX
7Ry4JAnVxosRZtsePVERiE2Lvqg35SVAb+TCR3PRH4VRhWoI71ZJoxB9km1au4hayUWHo6TQVbWE
To7m01v1JPqmSO2f0b9dR1F3Rt6+xkS2BeviG+iiasZU5Gw0tasv1MJuTQbLYUZJFbBBxSirkqTf
K43r9SiuonDeKknCMjqvRFXfMTVuyIKJr5b+ZmoPnoZ2y8KrNqPlyp32tUDbhcPoEqH16tF8ffg5
6mnXSfLV0YTZSXWx0IjNgcvIz7y1I8RjDiqydpGTmdlwxucAF3aivRikn43ShNiJKCVmIUV6BtcE
IZOee3PY72tGKg3atcRlxoOWzcwnAAWGL6hOVhK1G01rZOSLAG4x0MaLJE4s4riMHACvRC9nfwjn
5Lh1FildOFY4qqtolaOyA1zIRKX+0N41kzvMfvChyUvcItrTQq5xTMzzGK8SUxTGllBggsBA7Hr9
2OwtpVS3pURHQPFzm0LsORRAjtaNTFEwQW48j9bc40zD4chsuIQ4EOoemezJra7p21RXkda34S7B
geJx9HR8PtK8LnSANay59iqpbOm3jpqsO3swd0FfWF4jprvYpGVA/MC4CgyRbuaOXPCykpjVwubB
YZPyU9EtUBb9Bj5o5c3J+8ButYLbREpL8IUROsNt82rWrY1Zp/QR0sFLBzz4WfAWz+bZIW5KoUOQ
nOuu7TkAmt1aVlgdDQFHJy9v9DJ/HDpGWtUidwtAY4AZXhLZK/M1xCqyUmvOHlUDlhjAMNBBxu/2
mHx1FTq6hJHn8D7pNYDLegsr3ByT/oA96I33j0ahVJs1iNzMMypa8lFO651QQjbmNIhXfaXtqqz2
4JFf9VF+YH7xaI7Te2erBH05BxNXw2ZUIAWG0SPNDZ/WiLyA3pQbRpYYzTtFnMssuCPEDVeIm6I4
W7ySnQmalZL5E9x7vmWZf1VKB8nY4rFEmVBsEmyXgZJtk8WH6c7987w4MzMsmiQovUZYNsfFu1kv
Lk6QGjtj8XXaCB/DxempS33jVJCspKFvA8yg7eIKZZla08TZg81sVh3G0Sk0eHLF/BIvnlLhEufT
ta8KPRQkBkwVA5V6MXgyFj/q5DY8AYMSc7GqLp5Vs6WLN2NjjWA6eGoyTf64eFzHIPjErKMD7hHY
XF/GRi6OWNcduEUXl2xZclvWg9Pw9oz3XNXHbb+4ajs6QXEaD5CgMNzGs+C99YcKK+6YE6fAmIZZ
ukESkXqJ2v6xUNVDu7h4MwW5S6zAAe2w+KaRejdg+bWK6B6CrgoTTHhFjfvGgdrlCYzCcedo4OHT
hzoyKQugUHiZzVnwLorwZNUDpCYOcQtjVzJWUQh73ptk8kUZ09dCdZStOjOGRBCHmA2yGpmW+gHT
6w1FDPJVbcxu4pLZ7r9nkQ8v+yIk+/OzyL6Y/oCws/zNt0OIZiFZQ16OaM3hTPGTZA1LJL5G+H8c
U1xK8299b04agrLbFkyAiNszeejbIcSiMidDFXgqfAsIO//I+YjU7adTCGcfl9mOQUKbamB+WHpN
381UjSirtLC320ueChQ+ZRZ7Y5mbznyDG2ruK/piEYcPBtm9GhV+2qeDb2mtrvnACadiWJtwh7Oj
dGI5wTx3LNsiuGWwamuljUJCr7KyyKB8LPIM1jztUM7WSpAgZ1ACtyyQv4rOvLa7zq0Lz4bZZR5H
yxqacQ1RPWk+Izqp53nVisBuUB8x2OZeh6JWb5Omcs+RVKN9COgQtsRgPsiSktYBpCc7NFMEnia5
B6G1PxJWPW3InikuNrjhW8qZ4VUtLKva90kUvvZmPW6yRs1PWIlLH7NgcEkUy9z0ShLtsP4jBHUG
Y7qBoxLsm65k2y7s4aIlfevVQfVesmKwuuh6/RmkFnlBralz0ggsfY/etb1n0Jqv+QatL86cuds+
yoYTdEBY5HO8JTTHuHVmNfNHljO2fZUmpKOhM7DaVtkzS5gutVonmxSn6sastIo6vskRspIJ/8rP
1O5owFFFaRVGTdeN9BdjrubraMYXsEr1Tn9N6TEcOZOE+4kZwSeD0tTTMFpd064IvRnt8VXXpV/4
Sou9dIV2pzWxyrAYg+7ZBOgKY7qMLhOVOwI2K75Y4JO2Lgw7P+EodZllbO1yyQDenWh3REY4fTEF
NHNrCJrHLi+7TeMmnF6UWAfsoWWcriJSJScXorzGvOJGo8raEK/WXBsxu1zbqeURY1R/bJr0QLLV
jHFPcTbSmsb3wWQvcao8PIy0O3lvia2g+xcqTtoGQ2o5ZRlt+06c5OQU2yoE92bCdF2NFtNmdgo3
OGS1Ih47V3lCX66fdI4tV7z9YKOAQTk3pb4ASmr1apojzIeUyfswJrakRKVyNptquo1qGFJ9M0h/
ijtyJ/s52DSyaULv35X1Y2Vd+o1/vrIuVd6pi5v/uXol8uYPFtnlz39bZGlKLgM8x9VV59fl8rtK
D1OASk2H+tf4iOP4tsiykjJ1/F0W/N0ii2SYFZv2JssyDl3G8/9guMjz/NjHZDhJ+5K0bJ4PqeBP
A5ma+LmGdml4RfrQqtGPsRmtvvtq/mAg8HNO3DIScFjCDUtQVMIkWcar3y/juVaqbpVN4yVMgQpG
nbthKUrqjZ2PxF6OAm1aMTVbTgaJL5QKHJiGUuZOJ+kGZjta+rNd226zh80qz11NaNU67wwhz0Io
6uibTTeFnooqdvabQYXCP6jVLo3y3K8pBLfjKOdtXdJ0G5hYbjm5SJ/xIOZLgS6r6MV1YhfhFiEg
kWw4f7exEhJ/FOIRULZFPszlHeKc6B2Le78xtBgy6dppVMV3s8nUWVQy/uVrWA6AVJi5aty1RQXX
qZKjvGlhrtaxnDcz4ciQF6NPRqUdI1p70L4426UujtBebntbnIZOaCu7VS5d1D9aqXGP+feuTudT
WPSPAhw0mQik6KaxeZK16YemPEURMuIwTPdajZwqHMURQDh0SQQwxA9v1RgppcppfC6nQ22pz1WS
TGssH7h1QELWsUh2VFCEaqmvdL5AKFY4wk1ywlH4am9RVqJgJHBvAlu2al2gFyGA0U07jta2MIL5
KKfq2EOZHglaapU43NLrqr3YwOI9V7A24nM+WIYfGIvULaq281zvgzq+jSzJCb2gTRwqKaUjKRph
o4HOHLFaRvkdVIdjhLkImJsqvkw9FO+pxlys6mIzkpa1wjztmyZ7FOWtx+B0P1byjGSXgi7huJ+2
ztpyHOjsYWIt6HM8aiOpWE2BVaMIXN3LA7Ndq1N7loDYCQ2t9306TtsyU9+Ay3zVcsvZglLLiT7B
rbGKyC29qQqHHXs0Y2Tp0Nvo7ygHN020beOoX1IlYgygXFrNfsAStM0iMtkw9VD3wpYxtNOcOzd9
USA+072kDny0oDjTBwzpmb51GNd60uCLh1a+a9T+SZvJTq4sSMCu+zKL/lyqrUHrfTxYmXo986S9
BqnLiQhT1rZdpXzWG+1NUcZ9ac4nA5qIaz/CHC2d+WADUthYSejXtkXSB2NWyqCeOrFrCX4y8/Rk
6dM1s3ZtjU5foIB3n+lSPy+2RKRd2sk1C7rP5pUkT5vW9zqaOwDls9zYkXLvjM2DSRLZGKajZ0UE
CPTA/ZCYLTL8+NiW6d6yVRJLe+2xUqJ7x8kflKpczcWwWboQuj0epKscxhFvfJOIg0zcbSYw4OBa
gCWhwZnrzPbWHJIDn+9oYSOnjgLHb2RA8EpAe7pRkUpujuluVHL9mQOP/akBbMMocJqCByJe09uR
QxoNqUzzcX/X4EjbyJNKSjG8BNJH8GNWqOhVb+C2OPUV5wiGGdATs7pHtdxVYrnDwD7BOHKXYlsG
zutMNCJOOfGoUPf5fSNoFIGzCbKK4ErTZRwRER9OTEJ25IQQrkPdum1VMNiGRNwW9uSJIV46wjW9
yyvUCcSZ4+eqmnCTuuYnIe4SfnlPdgQV2GNTMEfIxDmoYBKOMzUUVspXMwSdL+QUcctBQDStezUk
ZK5JpnQbTuEpAdEKgiC4SdvytRtdZs2MmRLEopgl7wLBr2xUL02X+nChdn3Svtv1cIWNI9mEGDNX
xpA90zEm88d+oRmHJhYirQnVFqwHFoG2KZxVAryvCZjqQLVISEtJpP41F+24raTlJUX/3BvB1jJb
ktri7gX746aq+ZnTYaMH9hPZw49WR3tPw6fujsndmE2nwh12rYTJqAzJUxhN+3jgFh3Hcx/kROCS
4aFm4rZt5yurEc+Igi9lYq4ds38aMIhpQwmHaO43vUnfaIQewq/hF3A0OAw2ZBWIrZlYuLYymoCt
E+/DZoz8yCjKdWKJO1IP+QYzGJJhYd/LPj60BgGGnDqf2QnohcHmVuLimlK73ZVJ+GRNEkygWu8s
tJYsN2A9xrNR8OnzyD45nb1D43ggNebZBfwbzOW6wseFjnvHiY7jcpCvcj39jEPXI41p12XE9cgu
+Ky26YHv2ovnkeg+3T2Y3XTTVCpv02wwQyi72hIvARg5uEoknvR3AYJR1DrzhuEQjt04ulbN8T1Q
B+DUsORUE+ObPsdn18q2MpD3edHOmBPLXR+igHHcfDppGjAwXQfIFL+IgOSfmpaLjkpkU+SqRoyx
OVxDk2F4XocGzKX6U6FGaKRV54o5RrkaCimPjWaH2GExLVhCfEHVkntSDZVPQyW4XmbIC2R5BivD
jLOvI9Efnm7kkQC5qZ8JIA3e//oQ8qOGajmCLB5qXXAKoWTVxNLv/q6S1FILskoRKJcEKW36mLqv
prX9v73EctL67iUmrmKRdryEShyMoDdaXY3J9V+/xiJk+H3q/O1jYAlbFGmgcX/6GLreTfngxuGV
OrDL21cz1uDxnrivv36ZRVH288sg0NFJmRC6ySDix48SArw27LQPrzoqG0lHr9G5D+UDtfDQayvR
0FKy/mVUaR+lxKJW+fNS4oxS/8t/j4qWP/qugOAErXPWR9qAsIGHvisgsBziN9TRjYL84Jr7TwEB
hAolDvJ6cBEWwkZuiP80aXiE7GfTprPi/j/2zmM5bmTbol+EDvgEpoXyNFW0IjVBUBSV8Eh48/Vv
gX2lltQu9MY9vFdNFiUCmcfsvbbO1tL6JXGivTQIfzwrCCHQC5JSAwURySDNyE9CiKqs7JaM1uhc
dQnHGWc6KZKOOBlmHCG5kVqoEYmsyoGFdAenz8ehJuxwPaGsBnGk50Z7N7iG9L8wpNjXGmXlC6V4
oqNvKjINv6/dIL2CL25sJIpnqgv0TnjuKztSfWB05sioenbmDKBS44esYkUhFpb65HJkdy3nAUjv
qRMz8v+YAoYEBLQ+WeLA9RsRKO0rWYO/KZYRpFsNWX2SJMZCRLYI5tpIj9RYoKqQXGfQBG8OHPXf
T47/dqXGPz76F2/1XyxJl6/59uRjqaUlw8ghsMW/DyG/PfkEofiL2Mek5KdB5bH7vnUGcOEb6ICY
Ri4Ujq/zSZv5JP2uzlvh0uzyvvxC6/znJanveibyd2iDyHwpYX88JoWhpG4QDHctGirLFLw3lrXF
Zykq29+J3ntpQjlsqyV+AjlPYmvHvPG6yV+L2EyeY9PowlMUlh3R1cwZcpBACf2r0pxOnJVd18O5
GNS1stL4XqsH0wedNott0szNjQeA6yO55IxCCxQSSg+ZekpuXzZzxTIoNe2ZMIf3mU+F3JESOtTy
xNoYrciaZ67aZFSUP7NJiK3VuU3cbM1ijI1j/t7xSsTGGpKgcGGDLE2xj51qHS+N8tjDDqiXBpoQ
vWozVKGx61PX2AxLo038HjHAfdQZ+9Sf3Hljvbfnk+nP4yZ7b9uVWM4ErKFacyDP273qJqSYa4Xk
7i52Xfr/QihGActQALNB2t6lVlb7G9RT2Wk03cgE7MH/nmRTPs2DzfZFVTIltnCMSnGo2Ojp/8kZ
fr+dlrfjH26nl/qvhAzLF319R1HjcZlwC1FUCpvX4bvbyfrtfXjvOsTDmry/f7yjCBlMQmZ1xlg+
Lw530Ld3VPy2vLw2EzH8W7bza9cTqMaf7yc2Euh8bdNefgq+4Y8vqYeUcBkTzSfKy8cKwkyQYcwC
AV7hlprzrVe5O7qFgzNpWLL8x7xkl6l3I9nRvnufePaVVbaHPEmQBHthsxYiL/xNjJf0gYg8Ng2m
fiO1oj60aAp8aPKJ9snMyhw+qGH10YUIewCGzgIqdzOR7JsWT2qOHu5GL0D7lZ17N6SLM6mfTtTk
JAMV1lpFUNursbyfJu2xdIoHq3S6lW6S9K3Xw8HVplMUe0dDEIwTNa/1TDOewsyXkLNVYp6J3ns0
+6ZYRy1apLBdPI5ACbuw+DLVjOIj09jSKMg1EHX6FXM8tWSzVhkR9A4yjfVURp+rIZ/XrU7r64/e
RurtEKgyMsg1cAVzcc2eDsNYEvY4yAsDLYDFdhNU18UMxJ9jUaCqixifm/1F3asPke4/aza9s5dZ
8FybTevkj2nM2LtO5oeWxNC+M9S1EQLyUOUXcF0Yq+Jbn+g1HPL5pZI5pOwJxn13oZX9F712pjXZ
BiJAhsUyNe77laYB57ayFJi9pgIrcgOiAFjkm/ixHExLJ3NSUzDjxQ/6lgI6KqG9+HWClF5HPK1P
2sZLUxb7CNICjvzXaJLHwjKmXRsSm9KM+MQ984Dued91NRSOuggsxhzseepKAb1zu3zXOhmcPyfL
D1ZbB03jXLUjsyKrRPkSFf3WBm+b0k+l2ahBMB5pj8cX6dJQ8j1RzoKTLZl7DRG5t5Glvei1TJAx
MvoxUqy0jf82pal3hZ6NEYTedCBnIvcyGyySL4v6jtbJvjZbmOCGKZdlvp+sETrvGfjAmXVJ/sx6
GsQcCg7O1Hab8fxDnfd2JMoctKp5BEex1zvzcehhjMio0ddtYxo4t8zkUhVMJyQLmE3k5PMq7BNQ
fyNtt0UQJRGHhn6tRgsxg1mKfZz2O99WuP3kMSeqkyhc8wUTl0O3OcUn3AEk3rLEmrx827X4HAhM
yoj6Kz5NTbk1+/ipBGxJtZVuZMTvM0EddLJtYprG/Ndat8UCwGlDSUAh8c7c+PGMUNbYp6zCjVOW
P6T2Z4SM/2p7/akBXT6Cety1bJ0zUqdo+fEjJiXHJkHPc0qbT116ntR94V++H83/lZHmP95R5+zl
9a3+ixbq+0tKh9bLDUDyhUOSjE5f/a2QNBDOkW+HexCF6rtk/Gsh6f+Gw9HiJoLXbsMf5Ku+FpLe
b4JtiY1NyiQynSnorxSSdBx/uqSwLOPg5+HDyWgv1+H3s4N+Gnq7tcVwankSkYcAC+khvJZ9v8l8
ecqNKnkt474AZmndW60FrNPSwjtPDF+0SN9ClbNXs6UBeiD0VC8yb5ULUtLALXyqZWqQqETmFK7j
W5scgZ3ul+Fu6EG25WieIyU+dVZ85/bzhyhv0XlnLUnEyg5GaAHIytTRUg3zKQHgyPKL7ZyZd3zW
emgJXcBHE60ZS4BX8IixYRt/1ab+A0si5IKp/Jw0rGhroIX2eIpksy+pmlc9CSRmpOtb2yNGJrH7
82iik0Uk7a6EyemXZ2kQSmDg0E4sGssDbxV6eSRFBDjnW7/lAknj1tt06AY3Vhru3DTDFWPlPjQm
+772W4au/rqzrE2nGoJCaycG/YVQ3+C4agvS46Q+Pzr+ZwK817U5XrGyPoq+fQJsEUMYY70NTZfI
iCkE5tXjFHHG6a3XifkxxFZY5IT7evQoDUgyS9AtoSzVyq7zFUatfWKK0xALrFVMfMv6sdScT12H
d7tMqZnn9YLdrVh3QDq4MSeLOGLHvfX4FwqJfAFBX2+HLLuubf/WjfVP6TgDLQHcjBybUa4vhofc
tJ8Tz782FRzbti+Yp3YGY81RXBiJd69lCLjdWX9E6Z0xjktApIUPaqyvVaddyBqlZgOx09aij2Ov
3SuEmWM03rJp2+qu9sRo/ZXAYmflkIoT1EoigFrCY0zE/GKa7vSOFp8W54pf0+WQiHXFHRraXwzl
bEKTv87QzVslsMCZdnxXRsneTRaJlhS7OUGCURflR6twny2QFUExjS92N/B8GRVJGrJgXN6W4Nky
UsLnD36NQgqH2s7I3GPnTvvSbT/3GuRAM7LunUbuZBxrqzmszoZOAoCR9uOyMSFtFlnTWos6gvws
T6GwTh+Tln+kuWBz4ES4GuzcvG1dtcGvRKpvTkfRsLk70rPJa5IcyX58BgRh8c4956Csgfjo+0ii
GZxb+6Fk4n4zDbV/COEtrErRjERysGrTu8FGS24km6mL0Ehp6ouTDK1/ORgVdoIwCpNp0+ao3B96
DFFLAtvoNf5K4jy6K0IL14ImrcfYTiDnGd0dBTRX7WRTGBIc4A89Ano0oKLwd5MamjX2A2/dDnV2
jImWW0yExkYN1nPZOwleQ163LOKRLoaWgoIoYNjDZNfH+Vp6/njnqdFdlVF0GqP5s7kkzlfSWwN/
2OoED5JRRDwUFCRG5160TiFhZEJcj7a9YjkbzITexE6xjTwH2bsXbd22PcRwf2p9Wmdjec7ibgsT
jqRLrbkoVUPZ2LdHOyqAM6Qjdy0N30TGZOVD30nq81h1D37q72vLLgIZDp8a134sS+sp1wU+srCi
CiDgsKpm8pOH+BELnb0q5zwKPMsA5N37KzycICaj7FIf5h3/L3FyMWuKitG70ohJNCttU1vpl2mu
HlQiHlUVX2W1/QkQISSGXJzcFmZkV+oY1SJr2dNgxmultrCdP+ljcuuZxSW/PGR5CUP6NhUPed8P
vCGA/pzBI+GZlRCGbhtWuc/MKcWq2fIyTbx6Yl4oQ+YBH2ZPYGR7C3Hm0JnGkcX5BSkQl6mT1fC6
RQtfAZ8AvYNPDn0OI1N44KtZ5bBObN80pg7b0q+Sbdv58UopHKShr8F96aa9WRhH8pBetCm/jNL5
QZssHIfj9Kr1VXI3Ec4R1MOwV41drPLJT9dCVq9ktKKGrnUEqnnxEHvkhCv1GgNGYGel5/djUe+1
wgT5jiY0VPw2MhFuif+GIh56HBvDAedvCAypoxDldlDtq28O7DbyjGetyZFdrTIWAPWx1g00gHom
iw1+62bbhG3jfzTzphVX/1VE7zNlg1HT33ftWK6IHP3c/rkmWr7uW+Nu/Wbrrr544lyGyosu8FtN
ZOOjQ79nUSz9z5zwx1jZdpko66QWUysZ5ndz5aXGMlgXLN9VX6bOv1IT/VgvYztAMII/dxkF4PBD
VP1jRdR2xEYSZzWcO/1IA5RMt2XzL1X/79kJf8yu+VuY+PgozJEsguDj7/vjh5BmZyVJ2qizNZAw
0Kxsp4EpHllmYZ0jva7YvJbumN7MqNO96yiKxFMthZneeLozBREeCZMoEwXVqDxU0UjyeLaB3ohW
F9BjR5bbNGXnEIBsVmqHqfHJwyzvWh28+hRxrlbidoybfTixS43ycUtkorF27OqoqeGkeemnbGIl
SGJtp9SB5M4nBDLot+PoJOFvemZ2EBGTbGOsv9Sd2KksHqDF2SRqVejANejmq9YZ9lXPlQJY6UEw
nrcaNvzFk3T1gw6SBo2eOlZj8cbonOOG01RN+VvIghHBsCIPTR/hmDT1Fo0vMCUsBl5Rc74Tkb5S
Qv+07KRp/lBF2MV9b8hjaJoP9RhxWMctoV1TA6tzeOUYP052XWyrRF0V0Tis/YrZhROHThCWNcle
ZNcKu2w3AOiuKALY1zbWTTbgeYP69qQlFgEzYmRUIci3NdsviaiI7qTRxNRbnovSvhADmhhls8/N
0oqSQx/lSgGBCsakK6AKmAwjgGeuINB+MIjbsvh1rspOu3UGjYPQzO6H3CcV3kufNeQ1hDGqg08K
0nXWDtA2tfSIPpA6wqjsleFJBJKvVlJufSCdcT4g6h4rRiWAgMOZNOiwQpdSSuNYe4jC257SRziv
Kl5a+6m+6IT96kH5YREff/FyAZMeWeu6av17Wblf7BipSxW/ITkc6PmTfWRCeCM/Lyhlfoai/MlI
EtCDdssOIy0OjByokvp2y8EdITaBcW837bCxNd1n9tSd0RI+gPAjOjdrsZFF9cawozs5tlxOQnYB
dQe6UjhfvRToAPj9+V5yZ2JwS3s8bwQAfkj1md57cr8kif/RQRFJ0gMKdWtMw5WGUOAKEW0dSOCp
AefKg5yqOwoWQtBSC3GZgKVXRgMP6/iRopSnZ6i6jTfw7yHE/Jy6IQkNBNj2sKJtQru3fa0/pDJ7
aOLCXI0a2Tq9bK9yoX1pNe+Z5GUbaEQUCMsg23AMS38mddiFHNFaU3pQkAOzhcVQhVxHPT4A36ju
HTlQSrkpT7mfpQ8preLBmdnSutZwX1UkDc7qjTXQIU4VF1ypPhttVRH4RjA5ShmiLwY8tHWcfEB6
ROxtmDFSeWQcOO6maEouc8Yjsabd1l3i50RpIS5YhzmG1H7wLjTBTLH2VRk0GcqDmedXWorcBAvN
ppMHotZIHGwCxbtJLJS6JtXyicrqLdbHasWxRn8xG9sccmwfQVXy7JcF8wiv7Jg73bPsqIk5c27r
wtgkyrgtDQT/4OYIIV67mnxE1/PceA45RfqFP7BGE955yqOruWlxptBv+dPnrl+kTiJZpw1jF7J1
gxS3imhqIGqes61Vfy1o1Ooqxag142yKnWFV+qPijzX0JNppamvCMf2URqB5a1qUOdX4QWvenI4n
sXfF1rIT4NYhDkq0HuGAlRTwraZt9H4SjwJq4q6qajNIJKGYjqdadZ1a1H+lrd3BvtyIvpAEWiWc
W6u0tBUSI2e2du1U1oGXwXn2LOaKVbOt2+FpGLLHptKeqe2tG6Am85kLr9rWWfVSmcYhqq3PY+id
qhmcA332EuvM7jKdjTUgdA/7QhZv8zkHHJ1705XMo7tYyk+JWWvBkCLpqedJ4L8GcUcQ5UTfHj0X
Jr/FIbqP4zJZ+5Z27PrmqTPK+Q74er4Nl5gOxc+36mPunsBPOQM6LXPXDcvRk9Z62r2bWHBCMTkt
EkSn4C1vPoR+063tVmDhKqBlV1m7tt2+3/dGO+wIDiyxnJfTbkCIEfQZJm/ZpjEvO8LngSy0fZP2
Z8LJbhu0WxUiyKS3+1Wpha9xySxydo175ZRPtTHeSad2D77dPZWLlMOWc/gvDJBFPPDTpYvclNhc
lmf4FJetwPezDmRdii1y1Z1Lb9i4xol+1eWndrC9JP8W7fBjFbFc8DQ/jPVQrLDwJkDix89qmnJs
TQjQZw9NVvpYTdtIe/yutDr//oN/H5z0bx+x/Pl3sg88/Fk2dNlwVryYE2OBqP9oq7v/x4ewvtAF
tRWL9p8+pInIkkuKYThb9X1VXo7atdYf/vkj/vxrWdTGf3zEIj357u/RdqUnDXsczrZ3l1fbOYcs
MJwK8ZJM//JJPw67/vdL+e6Tlp/ku0/Kot5BG8ZfpprmlVFgJzSPXX419Js+P87Mlf/5L7b84D8+
b0ivcctiZMWugujzx49rZTLOdWsMJIg/GTS4wr2X0cWUP71/zH/T14U39fe9xh1g/b+avi5f9a3T
YMRq2MaivXo3BfH0fus0kKngW2Y/9y1F8/vpK+tEFO6s7Hnqf5y+WhijdZzJxhK48Us2I7xEPzwh
7ywPDEvoAWz6ARqCn96u3iTwvtL86YTJtNnqWlZsGltvUgKbcRtf4OscnVXVO5oWOGGhroaBqUwO
K9QDsNHUmOviSHcux4J7uk/MYtU19pGkNe6pyWKtbkByckv4BWNfqRvTRhbjUrldEKXr7JqkfPKZ
Sgaao78Wla0DB5pv8piFUDggv9YUaQKWROtF7HNQlD0sGyXSIC6pZahDSX2MZYF6xbxJLS079Dlz
mzx0NnodOXuKDnw6VtgcjLRDqOm7hRPEKr1F1PM2pNUdbjsyxZd8SiZ/h2TUxqP0syyYW1+d9M79
yAT81q/4LqGRXrHOHZjGYRYdYduGg3+lYwPEKpmtRtnf6On8mHfqwU+qizhqPuqatUtUzg87UyBj
tb60ccgQIOpczcr7PFOE0SKlVeCxJZwEZN4wAxKrdS0NESnlPh7YNLJw33rlFhjCRmjVVWGqpyQm
MEEsOXJxlNebwZk+zbF5bcRUsAMe3ziSbEoTq/LOjeVp007rFptrtIyVdfyzFTWZBwWrBhqC+niL
bHEHvuSiM/ytAVxk9rx444j+osCUQ2UmPDSaExPtrlEEYCfwSRZSiS+RWA4LvKSDfLLQTMgr2vQL
36SZ3kLhbjAwt4EJAIWd85dOQCUSCxulXSgpxsJL8QCnhPXE3HthqahE3UTAVbyFsmIsvBUk+CR+
UCCyXmT2bLaPCXCWbqG0uK4iGjxLtsiw2TcuxqZi1xnuzTjIDwwy/VWbN0x7Yb/0CwXGW3gwXsOo
Lk5luxYLLUZkRbwpF4JMubBk4gUqA1wGPjqUGXAz4eDVpGNAoGlB0egLk6YFTiNGKDXNqMFC08J5
H7Zw3IY2TTdK2mxSzQ7XgTGr9bhQb3CS3YmFg0MygQlhNr9qw3IMYKCCWh9ndnwVwdJkHxI2Ntyw
OHhGvxWyWMy9Ddrey9w195Af4QRI/zQWBLpmmukEIiIMRtK1u8qA6DTgn02y8VSO2qEuWxSKQ/rK
mv1DAphHTcM5WZatENreOKSw3cucLta77gdH3ySeV6/Cpugv/ak5g17/nNi0eo2K9lY2fRoS/3o0
izvw30lAuclUuGUdTMDD1nOSZKskdt42pLwuqxtT0jwxVXhLZvS0kxnu5m5gS51pJNnZDY2VXGbi
EnucjLONptIPMGA/GHWEarS3X2o9+ViwSObXD5ZNlazaqdGuuJ4fk1q7wA95RKQLZnN0Nm7EtJoU
2aAru6BnwwScXntuq2knkvKyrJkbDmKhm0jx1M4kaaTS8ve9Eojwcj/fDwYPXtX49slMS6THlTPH
n/+7Fn+XdVJH/P21eKpfyIz48wBuYal+vRYJjAC1iO/KAvtp/IAAITCCC9MxlyLZcZiC/qGcsbgw
oasRIwXliogF/ujrUtJa0qe4LrlMiV7gSvuVARwV8k/X4mLv5fvjAvaRlxpLwvX3dRptwhQPQg+v
SBOKNtacpT5ySz+80MZKvyhE0yOC16fuo51ER4gQzxSQc6BE8mrxLK61AcbS3o0yjp7KIrMGHoja
jEmcyAANV/kIsB6rvOGDxlkV0cRugAU5bARl1S8ADuI3bJZhjSrNidZO04NIpoEuwjHZRl2cAFzI
AIMHzO77LQsoElemJbPBJ7yheY9xSGNFpEOC+G011vUXDfYvzR37OsZOxFQSBhF6zOncJR9CsxJ/
my2ZEc0koTUTI5F1xkkRK9E4+tU8DzeGNV9GxE6ElnZplxm2q+gwYgYLHLfG22KQVVE2PYku9FiX
ynZ3utLOCSP3WxV6F+2SdeEuqRfSb4zLoqFfNbUh3Uwu9o2abEJUg91pbJuTljJzGySVwGQzJSzL
YcML7PqrzG3RQcTWVH9JrfYuzvQ7Ehlyh46vLc5aRaSXZafbvFJbqdzoiY1xIDBChdgLrnob15RV
Rl9EwzzVVEKS4OOtOr9b+5OVwxdyhq3ylmlHNZvrus53RbWkbGQuzmHq5hBYwto0iujUyyGEqJ0Q
2OU0mMG08tZluu+7Q9DoE94WvytWyiS9J9ausFJsQcjE7D+U/dBgARYRK7R6ytgaZJJpHcJH4jTq
FSA1Bb2vYyppaH6MNc+UTdBMdfIvg9+lnvuuI1gA4fDHsSOiVMGT+W47/64BAV896KnfJNemHqmt
lQ3mC8BrLximlLiS/86/388/9gV/f/5dvdWvb1wVPyP+Fljf1/PPZGGAfJd1I03ZexX/fVsA4wfK
AOzbRV9Bi/i1LUASbMHqWlpVdH3vesOv55/7G7sHC2G7hWgDdsAvqXtN88fGkbbA46A1F3X7ovBF
e//j+Wdp5sD4L01Phg6w4+i3sdKDuM9t7QOZJ2JJnKrziVVvUuG8T9cd2TSgovfj4aCHya4o3iek
gMG8x2hiRKbi/p5TuL7QieCLnkIa05Xbsu+eHNsM8iY8oexK1k6St3tlOnDkhvy2TKfTqGU9a3/z
JcRnHDh1eqH0+Vy4hNaKsH4cCXphejNvO298nPXhs6vELUmZfAOM9ns5OmjrvBKunn9DN/ylL+uF
NZS7ZPbqLl1+mxJ9nJ/x+ZN/hyVyydc9eWV4Q6ozkvhl7S3dGQFX7e17F2tfnpKYjnHMZpe4GkqC
14nOy6CTVP3GJzRjryw4tz5lc+CUobvJq+ipS6t2XTgKU9oSuzUr3dhaJGSsqJtZyA9uG+0Rr0m0
Gjh58SgJrHdjpmV7cuthJGHX2jWGkV3oVSFvRSvGD26P4LrE24g0L3ZOMdqaQBqxcU1IPEsN2zxH
RcmV0TA6dSsQ70xum21U5mhToKmyo0g8JmsV6FlSxVBS1qBJemNcodgLcVcZNet6DAQXnqoxZuYU
h5Kfoajioy001zgApdHSrTksDj+RGp8MDJzrrtM4QpPkKgJE3IWsbVv0f1EBXIhp2laHIGgnfk1Q
7lSOK6tO37Ky+wDa57LUdbnOSU/MKKUDNOzcvNpVswQsRmCHHZXdjlFxVGb9bGrpZTKAKqrIZrSW
kMZ2SWtU1dmU4rrIR3CLUSvSs5NMsbmBVGfhj3SiZL4yHB3vHKSMVCWQKtEsHNIpOnQ5pGXm6MVq
hDK2yWf5Oo8EHId6iQ3VR3VT5jSuDnbhwK6dV0cHLINCKg24HXBpArPtDLqKhfo0tiP+DiBIqDIT
OjxlrUJkia075GtWZ+Vek2SK6x6gxZj/MuH7Roa/EZMifVV3ilXm+GlA1F/PXD3u1/qoXwsHaXyK
jGc1KdJqdLo1lwTaAL2luYmzBoZebn50Rzx74VTesSzCGjoNPqPZRqwqMLl+7HFJsQ5cNUK85aH8
jKglC3i7AsLvmHBryblzUNFOvbkxdGSsXTPlm9JYBOnl4MMFwtVq2MyJ9bqV6xAmFDtzWSIDiBO0
Pceiacv7/+6P9/tDZ9n69/dH8JK99G/1S/PnK2T5wu+vEAwYPto9MHXUvd9NlgDskZVLmv0yPFpQ
NN+uEO83ps7UtS7Xx+/jo28lNOJz8Ho2q20LSxOb7F8pockc+aHSWK4QxIZcRS6PFQGv4qcSupBe
32e9V550Sp09uNZdJKGZAjdlA9hPwdCZzSUMpHJn6Wwx/LE7F4k9B1aRf6pRPdFeN/tsipyNb9VT
IAfXYkgekf0VcSAl2mCi8GbzIip3puAe83Ml/Q+RgwO2ry0rwFB94YXWZe3Ye68ks8jRoh2e/Q+h
J8tgrryruZ7aDc9uj+e0Pco8wTtvO8fZIwxD2uKKC/JBOor+NvZu/IFrriD7qtXrFxOIcuA58rHP
HUWEYSQp0Flkpv185Rbiwxhi2jfY3fhZ+cEd+ws/JRJTZPeawwSA8QkqlOihqIEza0a+L8Jhkcfc
FkWyNaT2bMZjIGGzt3olgqZWlwjKnkyPJNEoR8DuQL4aOSl4KF5aAAyMC5YyXjDDcOeINWMGlqxG
2zSF1bTxvII7CtnhKkxI0IRAuyqktS8jVIXj0F0PGWe1JPppx5Jkm7jV7ZhycjkpaG7NnM9W6L6a
rbpPu2k7eAZyblmcR9vdTuQpxSYRl3jLz24nHqIqlGyhpyc3buJVPDhqLQw7DZizlFukZA38X7GD
GnRTj4XYGlF2HI3sLZoZaHmt+eBGNfmgmRkGcEZPSS/M6ywUe4LB7qprO4K+mBCP6V24E9sjRp3b
WPSsaap4E7czSadW2+/qznuKXFeuuordaVbGOyOHG5bm5Svi/XKdtAC/zMpA/C3W05I63077GHHB
CoD4p7q23tBLvKEIkntZ2dfSlQcml4gWQHpvkimzHy0H3Y8+eewGlySoomIF6R4yx7hyumhbezLd
Gllcb6aRLZ4p3WnndYoQr8Lp2s3QazexGj77czrU7H3iBFNDtZsrGyhhWx1trTKBoTNec8toVRLi
tSJ5zFsDsdqbmix2ZT2+YI+/j3U2q02+0UGNSR5dniP/Q8lVRzYmTmgYudUm9uW4SQWUvSnEk2DM
nUHjqBA+ONmtT0ixa4aovOLoUPguAa2NQXWDnDGTCe+FyNhRs0zdWlVprlze9C3aSkaL8dxdTCbl
gRa9WnKwb9owv/VqerbRteqDYtKzithxBNrcMUwus0VueipL3pQEsuay3z2HwrmMcpLulZ6wzE74
Byzcj21rHJvyJrZtYnxr7wwsAbiFW16PzEaRRg5H3yw/M0hC0zYlL7mdq41Im3StjVq6VjPPx+Cw
tLUr0BHRrO2sKUjmj6a0Pvf1ZZIcQJ9sYtSLUKR5DPo8fJnmuScWq7oKZ2LSCotNq7L3hRFphOFF
j5pM39KOV8YsSp5t5WwbvzrkWo5YwjKtJUL2HtjdF7/HTwGChDYzEzu7LOTGZmVLjsKMGldWxaVm
js6VUeT3yA+r67GHJuC1ItkIfw7X4wyHowvD93i2pXTuydpLGbwKGsLMj++imqfZsaVxqLMk2tgh
v/ExxGiTTvMNczJ3Ra9pIDjrmUJM2q1FVsZaXybF0QzbH5DpEBRpGm77qcXzUbX2PuL31dvRMZ34
Xp1V3eS2dZGVzZ0e6vehA34Gm8UxZJnJ/GPBS9K218lJjUb9lL7nQ7sERyZBQ2p093t+NGYVcxsv
sdLVEjBNEBVZ0//VBO81gU0L9vc1wV0JMvkvYEvLV30rCGDn+qx7XeF+BeR+WzWZi97Ns0DqWgwA
lriWrz0lBQFlAtvir7S7P2Zq3m+Y0wTCtv+B6H+pp2Tx+HNBIIid8ASON5OShG3ujz2l7eVJbXfm
dPJaWZ9FMuW3saHEU5nZ5pGJNfFsGDS3XtvrV8MEHwF+GsIfp58fhT+0d5FeZkB0jPjCRcTPPqQl
KANTMzQS/TrLIv+qt4zw0nH8+sYaW76+94im6ma08nqpxr3m+cfR5K1Em0F2JN5SEJZ6AYtnCDnR
KWVr1Ywf8yiSx7KKCPcDKrY2kTcAZ/fYcNfTo29W7CWslynMBZps8OdtqQ0XRVr6G3yhYzC2fojn
QD+lZJ6zn6Kb8V3g4shFwG0yhy59zFErPZlb4jaS5E1NxnKGFjAi5lkuWNrnaJQhXNo+QItzTErQ
JmzA04M5+yjeYRecpSGf9HQ6xp1Vg50rbpyy0jex3mq71pUzEtjOOtI7ig0n9gW8vuZAtpq/JrzM
3qVZYW960wz3LqKwVezI9Fjl7FPCsr+Za9pelTGr7zS015rjbJIUAbsp/euEq49uj38djUyo25hp
5TqPDePUNKa3ngSisSpqjuCBP1ZKjDgZgKxStiQbQ6KFkhUxlWHPL0wbjJpFRqpvQ9fY4w1eTVqN
WM3pd3mLpApmp3rpS5lcja39BlYYoqguIXqgzVzjjA+IZrxD23mD08NapeO4M/vs0XxXmtvMKla1
mZ36yjiXpveoy0YEmQVeXIOHZbakiFZo9QG1UkARggaeU+KAcBTZcflFYxlvjrNQ8dzhro8IpW1M
bCmpXthUCPpJSH9f5OWut5zLZCTVZtB3EUb8zZxJjHOhC4OdrZSMT/kct8w4cGzYzF1nZ7pywNyq
VHtgsp2t59G+cMOOP+nCj7lZf7LQyK99OtlRlLvSmR4qn8ZtxNKxQj2er8hwnfLrKnXKBt+f270i
mgP2YjkggNgpXfpDAX1H5HF6abj/x955LEdyrEn3VcZmn7TMyEg1Zv+mdKGqUNBqkwa0SK11Pv1/
An27L7pvk2OcNbkijQYUSoXwz/04yz/xjbS44PZqcgqrx2Ngi2j/z2L87YKG6Pbni/E6/a9VUb9+
/s16rPOD39dj6rMUHAKUOXIedIiPFzQ4FGrgzhnBhpSlfBnf12PvD8UcR54VJKy+lX981/jU3U1p
crDx1IXv713QqB76dT1mhsJ8Q2HOcQfxe39ej6vApz3Z6JuzLouHIZ8UpbxaaSZYXCdu6itt9gM+
63bxZEkmuQR0q0Xr4PJxs3kEGNnnrDOAo5IZy6ruy0dOYs6qpnmBlmZCtjNZrk0WzdjKYE6xcHXF
uvI9JtBNM3Aam/FX5PbCHN3wAtnu3sN8GIRhvrFnhgqOVVzgpwnIQzj7NhoffRUK6OPyti7UuFCL
vJ2hB59y2d+Npn7Qsu4SYiQT9sA3FjA5jc1kYZQrB42EaLSdKgY0LKUHDvHPfisuSL80h1DZGfog
3eA8xTw6YD+0R+vNrhNt17YIl/VoTRvg51/swv7CzhqvmpCxQVP1J280n3JRIEp1KYg1x30VfXhN
sJZZdVx+8vLsTDs0przeWWqhXRCqodBhLXRjmxh+sbVK+zWNdYpp0+vM58A5W9kXG0TXSJrYKNJy
S0jpM0Cqm8FOgh1IZ6JtvRWsE4iZqzjS7HWnjWcHkPIiCsRD5LvsgDQsSWEUi8Bg1c7LwV6wdWyp
kIZW2r6AJgXBarbNFpTVeZ7lgMVjemCSPrhXY0OrUtmOc7ZIXVl7R6KnX+mKtlCVwBM2cSfpS8Fn
KOd03GYR1+Qqir19qeJAZiLujSgkkKE0U6HQbEFiPs+6syhxO3rdXWenwSWtIuXFjCnRW2Mr3qHd
rgeC2wbXg4WJS2KRc09cJHr0oO6PVLWTYTLVNowNBLq2XZLSLtqWvHNxRS8vazi6JIyKO0dDZBzi
+nPXjTvwWNCicl7iKVv58fgI0eyzQ5Ta1+iFylXaaqgxWjha9ypVEiuW5rMm0hetNOHjEtaaPIn0
R3xL6Nw+VZ6LOc1GUwmvCp7cROX1SPorJwUGAPdkqFiYSz6MTtKvugqMITvbC1uFyMoksBbgaj8Z
5MuYe3JxHm/SsD1O5M8QJV5a8mihCqZVxGQqkmo6ibWR5No0MMWufPEQZITawtq/80m5IdjhoxQB
BWElEbiELFxOJs4nG4caBNg6YFQ/anQpOiToGpJ0Qx1fBiXjRB8gmOv058GQN6YK32V+dF2TxrNd
e0mh7EXAMaCzhwMcjrdgah9cleLLrcteWqTu551Jyq+krnGRNNOT1bnuNg60DCwjPTMscySkK61D
e0Td9Udg1nBBnmrShabXnxIT5C7Bw04lEHvNN5eVOexLlU7kA6svSi29aSIMCyrJ6KhMI4S5rWgB
d6Qq74jTQnHQlRrr0WKjUpEYbOI9wIzl2BgbV6Un1YrLKmUUqOb9VdHp3O5wLGw6YpeBzqDVoNZF
5yVgTbo2J/sUd94nC+MFln77nlEIY8QqBlVOqrNHk8XHzhJXhzMWbP1WEAFNVRZUqB25qYoLjtbp
LuPaTYMgMorKkEIXeezm4JbRyZujUqZ0hp+wkvvbINA0ECbpDSJ/TcE86dRJOG8icpK1oZKrkkTe
pLKsWSQkvuJpk0Td17qd/du4Ar0Z1cZdrrKwHUVGn8pQw1tFTrZoWCOi6JHg/Ln2wh38xq/zyF23
RVlahIxuEgajzCQbiymx0czZYxZoTnCaBQPf1u5V2s46WG595yEVLOrMUfnT4gUGsoei05tkveYn
ImZYCPvmjVlstZy7+gqA2WUYGMDc/Jex6b4atJ3zNa4vYKusE1BCWMet647hLCZ83Cp6XfD8q7Wb
jkedBAol7bmu/Cv6AlXhzhzpcPL1i7SIH2KSkDD+XCpmsvnJS0ipVtNDZg3X5RBf8XngRRi7+ywx
LmeLuyx6dLroOc0jLnaY9tvb3JwuDRu5fIwPUh/vcyAyvrSubCrgS6COC5d/GWXorJzUpskcRh9H
dTifUdyCRNI5q7PGroao3OVVvqvjdl44WcOyY2NOsc1pYRnQ3m3DT7d2Ge/n2dX3WjLs85ia4TpC
wMmnVuxr6PQrL407yNwlpG6dXr2BNIvqv944AiTFP6ey91OZiob/+ansJkI0b6LPv3GeqB/8cSoj
30WhKSNWXb53xfwYvOJJ4eosmHxi+/gWlP9+KJN/6Axi0cuZu0plDPn3JZkkmVAzXNwGCqqEDP43
sErer2cyzoo2vhcCZDa8PtNG7//oOwlF3ls9jZanuqi4Qx21VJtUIAVLJoReT8bJ2euEmdBo5pNA
j1Ta2JgmwyGnyRjQTfX03BWVRhkCXjDLynFPJdq0GkSTHzLfy25Z9YdzN8rySOSq+NQGqGoiG5Jb
kif1QRa0iizb0fnii0juCmoZN3TVq37rqi1eyK3rHmoSwcl6KBck6mkIMSjhSHPrrcfq8FUzo/lG
NHbULT0mkHwDSGLpLvU4pU1WRcTIWDoeQgp0kqss6/w7EXvhDQjXNLzVY4smw23qGNW8n0uaWxY1
ViAaPMHUB4IHZD3vxKLHQEQmaBrcYnrF1Npf17XhDvqC6a6EMGn3+iUOwXidWVEV32u0ZXBU6RPH
YWDH3YjN35wooeyn6iXpOnMveyzfM3bPFVR7VIDpwm1LGDnKfqP3tWcdeuXM8d9NOpny6+Bwxbqj
VcrGM0W5aYIAaeL9FDLRXxVo+bPR9M5OKDdQgS2ojdPwoqQAfT5ZcdXuXcD8/Q093RxTaysnLxfy
wRxOGWDlXPtm+vjHny3+Mgt6guBUFr9rW1Q/92NBAHWhO/RK4bn4V+XUD9lM/wPXvPkN7qR6pX7c
0hz6j6VhOPgk3use0LK+39IchRgE+CQADaLF2H9vjKaiqB8MO2qMpoBQrDnSpG4RfsrPKwK+x0Q4
swjPmT5L/xQiYLyMhh66e6vO8+AK9YmRVVfZL3Yoh3rnaTlq0zBqA7hWp3nwQlncel5kzcvY7AYG
MbnTPjYmLYndsoNXa4cxQ5RIexgFcZgxmOUyFSJZitFGgGc/ZX/veoID6fQ6BPMrJzAJh+bGbtxs
Ddp/K9IsAi/kcLZK7PXYk9kk6Rzacc3hXHF/675ZcvZ6TSqKh6qBYr8Od9MCN4FE6mEMDWtuk+b9
SCUVbmOr8/YyqIF2YLUqM/tG9tZNFtnGKjGdz5M/Xs5uHay8HmpTXt2WpngJXciuhQ9JiREaxzDa
ibZu5GXLoi+iJf6Wm9h2jhRFPoks2SR2nh6Jph26MIF77CNeycahBKMO6kU2lO6ynJMb/Or3lZzL
k1kzZZpzaSxqVb+H76VZDJLYe51S/9eaY7gc8yA95kW2np3yCTo7/UqGXq46vf4yN/VEy9WYrt2m
26VNDIIk2xlJuyodJ95MmrckUEernxB0OioYc8xrAFeOeULvWrso599kP3aL3Cse8jD57HjJtSuJ
T5bpJyMJ7+yipZCojeXRt/x9VKoJU8VZyHJCihsVXZy+hcB0TAhL8obh2B2sDuDglvPZLvLDTFV1
Obk0X+puuspzhwtbX8SYoscDXU+4YoZ+wURjm0bauBCywyhjAAep8ofYbtKVDYxgY4zR2i45c1kM
GrQB426ouxtZOf1lx7h14UyNy8Iq921iZw9uZo2rOumuZ/YMLPrhZU4Kb1FpOvDdqbuvp/jNx52M
gxIdC6PFxqndR7buJ8fHQAmuiypQppfqz9D7G21yN5U/n9MkWjeR2Hj+FR/W4lL23TH1kqt5sl8i
28s2OfG2TT1yfZFe0mLKnA4cfseFYcXHgomzq1weoeY+aqC9F+SHo6URj/5Sq1X8Mbm0yuxseuyS
nn3VNy5ySI9tJnDkRjOrFwmLNrQEwG3chnbhXJS9fcZGamJfB9zl+Zugr0Cr+c2dGztvtjaearv7
QnvyHfH/vQEFP+4TjN2hY9Pg6TUYiHgfmNp+TqnzOosZGIk7pt2qzO0zT56LzhA+gXfBNKhnZ+Eb
VxVQKXTDN02jELKg9BPDYbrIzOxKhZyOuQmULWvzx9DmeghUSuBizdODRjBtaYV4hXyUp6WTUVDt
+8m6ndJro/GfUq2YlqYpqAz15M5z52Oat6fOYLbbyefBzl5bE/CCxYMO4jouo1VKq1pYtucm1bfS
lDuzTJMNGfFTB/lukUs33+A4JE+hymAwb09WeEGNlHmIlPOoeTchjcqPBLi5x1WPR8lTbiUQL4+d
8i8F71Ym9IdmU6V6u+UWD2ZfeZ5K5X4asUFpOn6oUDmjeM8t8ly4pSzlm7KVg2pWXqpauapi5a9q
eQnWg/JcGcp9Vb4bsagVD6iCUv6s9t2qJZRra1L+LS3GyfXPwf394G5gr/7zg/shyoPfeF3UD33Y
oxVnEegpNY/srfyvj3s04yubkKPNWOnDHm0Dt+Ifhk6oF+/A0x97tAULFdelQ/DJclBg/5Zb3PmP
wRbbM7+PI5/Ego6c+vMWbfhmOyWlY10ycjbre+Hh+yaVNGXGKqQ9ly9t3Ijo1LiJ+VQW9lhtQVhf
ExBaAoJMM66KQMCXLXZzLBuu3TBgLmo8eQ5DhkVnNQggUNIvBty6eALSYk6uiyx5LLFIIly8jINo
yYKbl5OdVyuZW0AYlAMsqMK3wgnthdBzQeQHyMGkawyoui30g2QJdJ2Lgdnchob/RL1QGR4KxlLQ
a8IsGB8SZsHLLOrmbY/tsqRpkt9qL4sOd9tJapO9m5DHIhn56ErpgBOBAgo/78s3wcw96DHYtXbm
L40y3+BRHICrxLsq1nYAdlr8lPmbbmJvThGCVrPM7qNA+yROZT6dCkr6RrVfeelMaCn174zKvc4K
fe1N/Taer43Wvh/65pECgrXM68r7h53yjXhqcbr88y/iXZe+1r+5Pquf+vFN5OTrGqRJGeIqHveH
oQbzDssxucuRm8CBrAxh3+/Pyp0smfzqigXokn3+93FZfRURyVR3GnMIZWP7G/fn/8wz8sDKu8bf
wB2Q7Ku6YH/wt9OSg0eWVqtLqF2cEGhcqCe+NUnSOgu9p9GlTulawLgzFf4pUlVRljE0yzrvr7Km
2Duery0aC+S711c40KJD2MWnyWE2XIjoVteTz73OPBAMJ9WX2kCafxCnYlaNELod4GQuz/moPw4z
6cFGPnkVApvLprnxVbehp82blHMC7TAhNY90LjpQgRbkCR4sN38pp+K+D1GgipasnW/bDzVXxXzM
H1v6sPx8OnC9PJtmdOqT8NgW0UtTuBmcSOeqNi24ZQHmVZ7YYkoje0trwQXp++ds0qc11Qczv3ZK
llU6UHUw3E+irNfc/jdSzu1KxKCj6BNLF4nmfq5CeiHd1D42LWiQnG+hG1hrK3Fvisj7TGrqKgIJ
h7KqeLHKLeQPw6Vb9gyl80/otM9+Jc5NkX+S5HuWXVLDkMhJxDROdhWU3o6A5ELGwUsqKBMpU7dc
MeIgsFUWnwbDO6FYtKts4qJQvpuTZeZtoBLUS2LuR/qaLyrpHzlyr+YIVXsqhg1kWLKb3k51jExz
/xWC2Bcnq+9Manm4cz9lwUzZpMMfyZvk6bW1GAbHWwodz59QLWd235xCb/yaUkK+ohxkW2CDWXZ1
3ABHFY8ysG5kO/krN0ruZCC+dsLu9xNRnIWwum4jze4p07pdU4QEXC0bqieNKRio461tp88Fws1G
lN2lCC2kzoRAYEUhxkJn9G3PyUaH+bygQmpLfzmjm6TkYFvyrmUtoFDcFKtORub74AFrXbP1m/IQ
+VlFYpzatzqGe20N842TWlAQrE1XyWopZx/OX4JRWW9HY+HODcYuCqTg0w8a/mI+xFPDe5iJMlgP
9XwL6JpHzV2aT/qNr3e3s2teRENigiVMc8Run4a5FJwY3Tmf2mJ8chGQiG6Wb7pR1LiEfUyNyhOv
Rzs0Fm1ZaOFOBzi30pwkX+p6saUXfWvoSEM0SHm7Nhymhdm7XzBeHt2x6BdlE5dr+IV7O5gmyIp9
vg6yEdycBVsH1ZRPY7awzfat6bwS45xhM4qiTi/Dtn2QOefJEbNLsE/Zgs1VkgyPwk3qniqsJowe
eBn89ixaJ4C9ENExb/uZnt85mD8L+BIlIGGPK13IICNzrsC6RAzzK0pEzGoMniOOhxxmnWEhQ+lf
lrAs4tbuOPCOC90KdqHjBbdhxQYbeNZ4TcEVML0qMtf4QtU27qbzanzf3Lv3jb563/QpSOMA0EzM
DzgSFN8OB7EpnpJB14Gz5aWq2E1DYzXazic96OBMJvaEJL4Y3rkvgPMsnH6RcII7/R1vLvw+8FfQ
0gUVP3pm+y/UN4XypIs60zCTjRz1/zm3vp9bVSzmz7fLy9fylY0xb6N22n/+f//9bYtVP/N9s4QP
jiwsqRNxBCKOCgD9OLYK6ke5sTKR0/+FDv++Wbp/oERhx6ICHeuVzeH0x7mVaKQlPf6PqcJDOLX/
zmaJS5zN8N9hMLQlHFkmjgLCRPTD6OYvm2VdNZm0ejGfSzXOMkQrF7UynZS4T4y42voqV6FsKX7Z
ven4VCIbsJSOc4UkdbqioPdebZO68rbMkL0s3C6cBVv2hOhsR+lm8t0r3N9MngwsMhVemQTPzIB3
psBD4+Kl6WJxjpW5xmUdXNYBfscW542tLDjcKb9odn7g6Ep5qLLpOMqwQ2zYX7h4eCa0MCUabDPc
PTqJyyV0lQenNK8a/D+WMgJ1bOze0cQdxLdm64+sZpPlXaf4h4IhWebKUDRZCGBBislowm00KNvR
rAxI+bsVCU/SrMxJZhcsyb3sMmVbCjBBrjj0hmuK4XRS7vibOj1I1qIcmEvBul0lONWj1Np4VfoW
sBeoKwLCCoP3ioHQkh1hO3Kg3jg67a4UoSHmUSLWergjGB7J1NiLqTiYehpdGBrrXz55S1cxCv3E
OQ4JvABvsG8rI8KITZ32UstRqahykwwB7H0+dKjhs4e60ljpnpjXpQ1C28xzmpxa/6UJ3LtYc2l1
1sydnPwvUKKZBstxiTOFBQlq5wJrA4qcZAoQ+g0pkky/m1wPn/Jo7fFUjysZlDfcn3cjDbvLEMM4
LVxNtSyixt/bA7AGQ8c/VZIujfKmW89hNGEASeUCx9mn2sjzZV8ZpFi0WWEW6LSfrQS6thttNSDq
K42I1qYfgJeiVIjsBCcrxwOuWbRV68NygBK3L4E6jQo120tpLnAdxtu2wKiyq5ugABI8uNqFYYef
A60o1y7VbheMFVB10npfV8Fdo9tqfxQ7qeFwYXi7bsLOWvfwy9w+Lw65Wys47tcCBCRbzUB8rX8q
m8lh144eOlHFi8j0zGXvl08IQvraaeZjl49HrGISTkJ8jfmwJxwWbFvAD7lyDvjaA1A1GrEHBcsl
HmQH8kwwFUeGsbEi7HeNBDBGvmobO+JI8BV8rNe+zKV/7vXk3htDWLEofYGorC1+XrozDDzwdVw0
myjMXz09ORG1wIQYhGuOy6c8ZbO1CBEPjvY58qP7QpuqZaAFUAOE/tmMyoc+cVc0P1IWQ+vHa19b
a83QnnuoTouhdU/miKRJYD65BiD20paUvxrOZ2duDpNVXs6GPID+hXdZWOexKMQpJ0Gb6lW6Zqh+
MAGv4hwm6iDCG6boOIai6UU4d4m2lpN7KCP66nsOWuy49TIvtbuoR41tk/TajRxtKYoafCm8ULvz
l7lGe66FUZpjwMrEt5lF8VrT7N3cgGyCVV9xLmi8ZU0UWllCweHunT4505qz7CTvOkikQ++MwTbJ
5hfPhhvXgo+wwQNaZJ1SjYR221fHbpj3Xhm9CavUwX8YaIODR4wxvm1T682rKYbvRoqF88p5CLQ2
XxqZz5e4wIBkhi2pP9bChad8Ms27b++fHffbjssW9Oc77qnIAe58mX6z6/JzP3Zd/Q+yTYxrVc6J
kexHsQjkDvEmvMffYOjcXr/vuvYfHigetSHKj41R5rtU5DloTsxy3gWmv3E/dSylBf205eLQVvEq
l5yuMlbjF/x4P81KGqwngyhPZtLQR3WNXBW68+ygZBRO9yhQNpL5Gr/VlpDKWqB7dG1w7yshhF4y
c1mijVRoJGjF6CXmkNxnSkAxlJQyoanYLeYoagf2OGN2ekAPeNkVG8uo/WWoJBmhGy9sFeWboeQa
Uwk38D78zYyWM0S1vfOD+iIf8HHFZviYWcWRjed51oDylm69HKLqdYqTa87Xr7VtPJFjEEu7HU9t
HxfLKUyQXyuVB+BiaGVF/zjp7ksEL/mQl5CUjYG7jF7G9xDkXnSu1Xu8sXu/0YqN7eLpqcQLoZZL
D0PhZDu3Xr1NZn1dUXNJlfRw34XRsxtpu0EvHptaCy4cUa68Ri6zvKfxW9/wTlyOU3SphhTVVBOH
jMLPBTJ00ObVorKHS0/p8UUk9hInCjpUOBVLIW6D6lQ7m7JNnivB8sqfuG0amI9MOlapTBuGATX5
zFi49770F4XVNMSBGZX7A5gfXzvaWTHsipYMmB9166GAfAC+xdaJJks7pF4lTXcV4NpaC4dVK6BB
h7W+rclrLRn4X7Gx7vRYp5rW7/NtmJtf2iiSF2nO40EkaqxAwc/rN32e4M7o9jGEmFk08eto+x69
7hwJ2ugM/O4yK+XKjmHiF0AZh0C52DG4WHj6Wjnaq1S3ekWcQCufAdGwTRswQ2moTZ2mAVrAbhI5
MFOnyLNg6MxXXuu8WqW2D1RjRtcIIELI40JM14NjN0vHYL5WmZ8mwcqLc+omN7J4FfLOYaW7twqq
HEFjrnXHdo+VZuxTtziVMRzMbHwIm+atrJBgjIGb9WzbxaKgBgqfvZGtkrjds7mRcqqSxy5iMDNz
ilHMo2u/kSbnwXGXwYnZ0MOYLxjxDDAR96YgUcUA7SvvB9Dt8ixxRycMKS0j1ZdZiHutJ7k1pSbt
ovlLSpigNQYEHNFDNs8v/KY96gBSRdZhpKNa0u3dt5hydi8Mtpza4eG7zd3QRLdlp91Hhb3Xc1SW
Wn4pbHuf6MGZecpL3qQ0LWIypMryKM36QBTg1PU0tJTJeA0UZDv60VF29iqfgVF7xd6o5caaJHVs
4UUgdXynk3ko0+EwNPqVHsp0AyVi5Qft0+DAJG3kvInq9ozzNGNC4lzUnrixovKQRP1OJjjWpjTr
9nEvzlKvT0HpnPOy/9REnFzcQNw2RfMY5NUBoMiJOOUqDKabXE+ZAfKlT1Jg5kP0SGP11gqKXWZH
7n6y8q3dDyGfjpZyTy9ackshzB3sueVcZ1rPmFEnGtFRVOrpT/o4gKjVCSJ6orsZQotCTRpZZgcT
Zz5nT0x6dk6HNxKhhxYuwk9ufqLf9WV2ve2g4Vzzhk0a9c85/S1QSL7OTYDdhTj3zDgqIvRK/G7W
8uwG1i6tzi49whu3sFj7RtO80CTljbWdHrygOzLr2yN64xk1vAMg47Ps04MfTDTOFsFp8GVGUi5/
6/GULbQ6vYQbu60K77LOKbLmeg9URDfWkWU8cIs5joZ8NBONtp74dlZvIfaBt9IY+TYGa1MMUIq0
x1HvzyR1LnVKgZHsoIZOw6vQqDqKyiDie1Kuqpb3ojasTd4F0bZys5fSNE+TR56yjepdUsTbBPvu
qrGNBwI/F1UDtyUEkdBo1z3D8KWQd9BrufrPb9TO3s4kso+5VZWAofybMstPmupd8jmEydl6MUp7
6wh/IU3GqggXEs1nFLtkBPYrgi8JsTC6AwsdFJkqQXXExqDSYKNH5pa4RE1lT1hiCYAVZQf6DqT5
UzNEt1U+H6cuuPPrZsfJjLbZwX3IcVvznO+CKX1sURL3o7xKVNWw3i9FbGM4zEYKcYvz0AbkGOdm
5dr9TkvnbTu7+7qxr+fU2NWBx0tjnOER54sQ9ybGn1tmEmR5oBCs3FqRBwzcgKZ9alL2+zU5eIHh
cKiiByuLWhZ/2zmInFqCDHzcJqzsRVbNziJye76d87GKHHzkNU+JlP6upgDbCXLviuE0PmuKJdaz
xqRY9FCVQdaP6F7ZG1ZxwO3EdNlhrEWIEYTqNpWjDxjWtjtc3NFqTCksKnqvv4jTEd+RNn3N62Zv
8S1eJBiHl2ZcUyQa0SxlpekjORdB+siugcMwFTXCxtEWWWzDWcsCihNaFGXEwqfYcDiNE2/WNp07
WNcNuuxF6s7cIIZUuhFxRpA55TAjixracTDri76MrlDANnIkZyjg01X+TVBBYK4QuB0sxSJ1uzV2
6Cd/gKSlhLHaQNiiDXzbSea/Ztu+9XFH47f7LH3z1A8Tm0y0yrp+0/oUPJjNXalTeOA64Ssr6wMj
nZ0/hGfdGr/4sXnIZl4mL4zWfJCA/2oMwGbr4ETZyY9Sc2k7GQ3UyUYrswsqWrB7TRBe7dpHE7BW
aVLcoPZGuC7nPWjgozVGOxB1SiDdZ96wsAo9oZcPuzzcWBLa2W0LJolC6WnFBfUuT4d8yX39oEfD
Xte1E/PFJUehLYrvvvU9+kjCfeBUh6BsH22VfqQ9oEYnZ7axSdzykx/PpJ+C69HnpMBNh0xWuMaD
uLSq9ksWekeNOyxaw3oERtx56Semg1CUvHxPo8BNLejxE9ES1x46Z2bvwlG/bRIN20AOTnFClZ0g
Ec24VpDsVp7q2eqAMLYxKkMnnnoXJ05sjBtLA3HLUJqjRbUAxFaxuidPqdlB/LACzGxi7SWdSj6k
e41Rguf5W9Odr/ReMPlojbtpIMUbl48FuIAVGU3IDX302a+LnmDZ0MHPMC9hwV36gfky6tyCI3RY
6Tvb2Iv2CBzeJgj8Q5/MX8rJumxL8NKs7+3RFnxYgmKwlnSOYzSeSmPtT7Z7LoziIpcYXlO6Q8NW
v2bocUxJFqh6j03TMPPwrRBDTaNnu3Cyn60hnm49VpoV3WD0+rodkf7icaTjkeaKZyFif1NG1ZOO
PXKh290mafp0iaqAccY3dp5aeuieWPQF9ueAjCylZ8mpxCueBBpsYVEfSiOoVsIG51fV2VesBQ1H
xAoLAv81MQk1+uo2iMZym87ZfnAEFettd5xrtWtb8mkkL7iI4Xas6tHDlT/JSyOJLrGFLCVYAnD0
c3Ms/Vp1dJmPIkiDiwGLudekzzrlJDv1dbfNHhRHzm6OKm0+uyGGmVJeG8MYHT0TzcEo90Gp34mA
E02hJgVDtw1Ieuu01FeBjrdZ1hh3sq8wbai8NsU6MN27pKXwu40PSW9zzhzGdSPap8mobryxUm1/
zmVsBJcZbqPUkRNcx/ihSr1nOZo3LuvwwTLjfN0FNs1jrXyG+bwH06UtKYbLt3nPL9bIyxdGhGWJ
tM0uTrGNNHnJ7hjITDdvRyMWXCPqWpM4uycp0KhNW1sLA0RY/E1s/jT+T/CluPp2VfoL5jCVCDRO
IeTQSUV8ylaBq48XKBHp+ihEHp3jktq5/NTMI/bY2w/Xyt88yM/C6HvXNA+CdAs/2TS4Sv78IIk/
1ia06uisT3stP+kaeAV51w53f/0w3EQ/XAb/9TAO9jNJlbCju+rP+DCs9DHTcgvQObiLr0Nxr5nf
eqX/9LX6ze+nHZnKNYl8h0nil9eqoYOUkUKWnvOBD9rO9dGzf9y+f/My/e73Y4DkFeKFgvfxizcx
cHJ/Nq0qOxNByawry/sW9v7Tv18l0P59Wf7P1+eXv1/aCTl8ltKzzLZatkwwbzkrIJvjlzRe/fVT
+c1DkcOzmU5LC6en98tbkbowCoa5SM56vKOLEMYlqaVALtmGtXLx14+l/uxfntZPb8svsrtuRFnv
2Gl6LrE4NJzolny1WFOnfvPXD/S7J/Xx/f/lSeUOw0wGT+8PZEYrAG9juGEfUVtx+b981tQf/euT
oghbh1hsuqZQvXUfP8umRRSOjTc/Nyaz7td+XFv+p79+Or/7uH14iF8/bnODhhlAcDrn7mvsP0vt
//BxxjaA00hVtsJm+/kpxFVqtVIT+ZlMGxw9VOf/w+Llgt0jhE+knrQ3o52PL1Ku5ZzvbaM4z87r
4Fx2OUby9n9Zu373pvMhBpGlcg6Gyvp/fAwvzPDQuDOoFw5+0xKXomFd9xTElSsmnH/9jvzmsVyd
pyEMVVKN/vTzY4U+80vK0vJzqO7UoDVoPFk7FT78rbh5f6h/POzyLz3st4yZXv9r8Vq/vdZ8nH+d
Nqof/q574r/R4TchYEr0SjALH6aNOtEWAY0JqipJX0w2P3RP6w+DjDiqqK3miroSJL872Ym2EEah
7ghuxDch9W9Inz9/eZk1eqquXKVrGG1SE/vLR8UMDW1op0xehtnL3FyO4/NffxTZ1viw/XsFUo/A
qootyaRMEvrVr8CpDlmIO8nYXXI1U/Dpr1MpAQjFN1bdfm1rA6NEzdVFEnI2tHzPkG5XV/G6czhI
2JpN6B4tL3fo+mr0uxiWj2zKzxoS0UJ4x86qyTy3CWVnYXo2esNKGCu2Ff0u+IYGnEYYgXkRcdFW
2bQxi2nGJa5b+xGw31cO1yeTEmabEWPEFkZu7nMlUp/sNOu+BJ9AbVygPcUpdUJeIj914ZhtWsMJ
lpJB4sFQfRQkes9O6Wjr1K2fPGSvNasYw1opATyPg7EwRdGC8MbFjxJ8oEL4JRHiaJFq8bxsQgwE
ypzmxY4h4Lyq/QrKS7o15+jkhmAUZvQwTYdlasjxa5Zo9HFC+G64wW066a64I906cYZfuNyblfeS
6NoOd8JFS1/S0uqm6zFxL+J5pNARpcpoMek4zqtv9PTEUf0ceBqNetFrC48VrI2kb8rdARo6a1TP
AZ5bhb54bpIAE7CzY3pylDmXgVr0/5+981iOY1nO8Kuc0L4Z7c1CitD4gRlYEiQ3HSAItve+n15f
wZAwQ0D3DhajCI02uodkm+qqrKzM3xzHQH/NRJuXebFCjxHfIt35EgZjvRqj+LR0EYuvRv+wDuRv
eQEScpDCA11kazFyeOqoRRNt1C8CLSU4Vb0/b+xgPcQc6o0QKxo3RKy2CKpJZkbfG92ZdzLdKpnW
WJDWFA289AALBc5w7ZWeaVMqWRuzQu26Hk+iADR94tLvdZOlpbfHfleus6Fbe314RcXCQzWxW8G8
PvLV+IKoTwk2jK/UtPqiuNYV4g+LrDQP7NFYSH353QSCMilrTqVa9Q3Iywy5h34pDePPCJbGAJi/
dI2ZFvVHECARry08+FBDykXtCs63RQHOtL6zChbIDH/zXCFpWNXhQmoapk3xa8jClV2Hc13Lvzel
/E2SOI1aFIIjN5zh/j2VjfjHGLln+B6OnOW8I1zloyXSHfhGSdaljwxJkTf+1As8dLiS5IejoGQo
5T7y6hg8HdvCECtAggzdfsrmhnkROvrXJq88eNPUb+NcrJ6wu5AVjhRNboMf64qZAeOZ0pxx3ttU
UZoBbxmahJEQk6rmTgwUCidNd95V5sarVc6mhvkFrRsOzIVr/wAt1M598IXZpM1N+uxJ2WLbnQwS
oKgwaINNXwbmUZFz8nUYCiyjcm8KqYZ6FEqkM+ifAOEbSZ7XI7pVae1G55ktdFqSRj7MTQP03qBO
aqom6AGc5HperVPocxNFE1q9alGtYAeGcy9ojkwEyidVlKdLZTQAG4zOfOxVZdLocT7PaiGjlQTx
iQVJD+C8VEF/4I1dN78xxuFL6WrXVlSsiG/Hoa8kgN0gFAyxdORGKr30WDHgwxr9tMZh/SIzaIRP
FMuNr5ooPe9aRDWReT3REQkgskzLUJ9pltLMsjw9tAqLgKjw0FZ3ljb4guVWPiFGHXh4RMVaMQ9R
fMvH+ggH96Vv+MfUgq84o4J6kA86B4Jr2kdoXVPyqYKa075rHiq1DMlbD6wfSCyo03EsEH3Tiy65
jJQES3Mqh5oF+0ZDag9y2xhhDReUx6MdbTQ1XyFCfKYUdBBiagh9Am947IwZIW+twkziXGuW63ig
Uifll4maTFGFb+JZVTb+fOjqBGuvpjnoZDP7ngonsD6QfoGcAMPRIB7B7fRZmZv6SabFiAcOkdWu
2tBvl6meDEtCv3/lFtxBbeLLFPgIWleyc9Cgt3wANmSTOoY5jaGMrZuIGoqeWZdGkYX8fygUApmr
itmgu+7CiIpL0x0u7dQYv45uGsCHoAtvwJmaWFSO68GWlrlMSwcD1QxeVUWJqzWar2WABHRvD8E4
xbnOZ1dCkUhvUz5xhywzRJTZkGTfzDYHyhEsemuYN1XGcdQ6iIrhs+yH8xYnA5I6/3MTq5d2UziH
/dC360wKy1nmxohwNIA4qM59ox+pzbReL742+AXM8gz0WOQz0S1AbfiXaV9VwZd2VaNf2A2EpLAB
e/j29vzqeABC3hQ+Jw6HK3C+L44HOB+Ymu2F6aYWMr/9uIYodNaV1TsnHoH3f5IEcGS8u49IfwFJ
sexfZL9NbQlMpJ9ukjg+rkz1M1GJkm7ynXAJ73NwRI0xXrV9jgJgtKpUH2FzhJjU9JBIdWSAdAnh
V/luc24iqaT5kOScGsVE9zZrTDRyWQL6aG9M2SNde+swvfXJoSkgiagbFDZenA2MpMmC2onSTYdc
kDdcCpasn71zon7hti2O1BYMZtBeHHJRMrzjMjwpOVRNhCRG1LSbHH/7iWTqay0jMMgutmFh2yKM
JLVfpTzOzlKHOejI687uRDMR4JGryWdjmOAjNTZnja85Fym7UpO1tExg+eoon0wNwP/UZb1NIAUH
vUvnoFNZN2aC7siAm+85jbjrqI6B4ND2GDsYR5Vizn1c/OZRrd1IpbpAtb5BsYl6/cBJbZoVtFjR
x0CXA5QsDNs1Iu23gW5d95bgR2De2lvxMW2wdmJZg7SSlS48Rt48mYw95tWeUgd0JFHrUALvi9so
yWXRIRDoKN6RkQhJP5hrK1Pp5lQPweVS5xtCFBlyWT2hpgKodAT1pmjxkStfN/qiMaw1cfGbLdF8
szplNYT6t1gr/XmapyPKAKjASzKcBlKPnmWGx2yTzXopWZV1YkwSpQcr1l5HgerfDEB2ZbNIkCDw
j9VsxO6mKhaU1R1QZP15Anh44zTKRDHH/rCwqnuiw18LLFgKvVwvzAcWpNCEt2UF0urzExyC/hkC
k0a9sRT1WnOqZDZiurMxkQybEE+/exWaX6kAxZo94GdEOYiox4wKZoJ+BMHZq44BcE26UT02Mvsr
5sX+okqMYtE0sr5ODBU6Jg6Nk5ZOKjJserJS2dRnnRKIJo5EPkIgouWaYs5MATZB+pQWCITLrqHr
nhfUL4uFmYw3ZWZeO6qB4r+SWfRG0AtVwbXjWTDT8A41M6BnpSFFWJuYX0PbXHeu+tO0emG3SBhw
4pWZ9peuEx5ZIMmLTANkODBDcoSy1AujRaAk9C+KAK6p5QBVrr/aUaSjZgHvxCxoePgofFcNDjq2
AfBHC6WZDEl+hqrLtcScmOaO9k3RpK+KDyayqEdt7lsA2EZYk1KfYTpZLmWsIJy0xX0AVK/fzvQI
+U7bRv0V2c1OaSu2+RxWbn2pdfnGsXsUK4drrZNvCujnKaY6CMoc42Y0i8A0ATY6slJz0eFA41s0
voPUmqpOcBblUrSmBjDPqmFuxoCkchKazPQ4l7AYW8k564r6F+AqF2YmULQGM+UaH0QT7KHq1VNo
WEdmpS0DreArYRwzR7572okMNWr8IwkoR6R0VxkuLeACTmltTTyf8nGEsRO7uN95K1uJv7U55DwM
LuDz6jNFYdeM3Y7GET2nMoEeKxVg0iNpifjQ4Ygwj+UEqOkqnvBSIOiOiEiFwAINtImwq1h5aX3o
dcVRakPnr+tYoheFE9EQWwe6h2aNgCAYMJ4mWg5vtaOS5+fdsVRxSohN2M/oWTeWgGycmga6oUAI
7Q3Ws+awyPSVa7VXuYwoZyIfmwZeSr2rH4V+RzfMdd3DRkXFqcJmZmqFbrrsWlyeyRtW2YAAOFiV
VdmShViZMFlzcXNzS+Wdre2dlfqy+qX6zhA6edQA5KTPUR0nKWKDLbyT7iQqj3HkeKe287pK+Swy
CKbP0zqSihIXpwsiQ5bdAvZr+3OQtKn3tdNX72x8Yu//c3C/35NEEZyiPmw93RA745M9qasA3NEc
htetoI+FTywFUVe9xOA+W/sZ5dcIBeU8D0C00hU4tgu0zM0wQzArBB3UcV3o1tIvXbbP+lRDW0hr
vkhBdgKw6iImfePUM60r9aL3aP6ktbfA0f47WtNXkh/n514TtXPD96GQGs2hQROOxGI+KEBMSfGW
aa1ZV47qXOQ0VqmkHDQaPu+aeoj22drInZMu8g5Ltm2LRmOkpiwmaSL59rTPlasEik0Qu+sux54o
xtqkNpLrUR6Madx534reKekU4T2lVpr3zqg+r7e8HtQXtd/I1NOgdO1+Y/ff/fHHYL9T733v+i82
DlmKyZG9aNgE9gUQX0TFPr8zLd6eFeaL+ZeYSSRH6BNtDPU0gHzPMMn+MH37JmIUXk89uKCkpHQw
zBdTr8chygduiwcqWs31Td0l5CSfg95652vclb//3Oiu/KVZFpQ5il+kpsqLGw1hkCKekKsb0pgb
NrXZZbxwZ7jWT4Lp1SSdXK3p3R39OA+m/pd+fk0z4Acrulpp67dfWBV1tj8Pcj8vnm74LxJxpw2c
3PEII/UCc4GpPO8vmmVy5i+cuTAUWihLxnmBDvdEnvhzZ5a3c32T3rz9FHel9JdP8XTJv+jsxG4V
2yoY3c3Xfq3OrUm9cE6tyUmlT/zZ8sqYHpmzZOls/EW/Si+M1aU785b9irg3GZcZJgYzSmczZyYd
Nat0WZ34E3C33uwLgqsbeTosjbWzzg67Vfk5WVy8/egvrKFeL6wXAyipVRDnUsC8nKAQt6hu80V+
qcyKaTiDdjML5ukiOciWpzdH82aNZUk/DQ/CiXOABNuUzWeOL9NPd/rl7acSAiavPuuTATXFnz+J
oVjutqVl8lT+2pn403GVLN1LtLVgGmQTc+JOQFRO4qW9KVbqdwpp87fvL6bv6+/5Zx29iDaEGmmo
8qHfyGM2t7rucJSiTdtgpf72fURUees+L6KOHaCm2I6gPMmp0Qe5kftVZ/4YtHkhg+/KF2/fbXuM
+/1WLw+TUkLwN4qw2SBWxMnvPPfOdrvBizMf0pcgl4DJbiLjUA2pAzrW7O07vPNhXnZoECq3Uwt4
wybDVBvtk1z9OiKp+PZN3hunF8GtUpA1aa2w3vTiq+CG4/T/eufMwij1z6d4McGabKyatEqGTdf2
0wD4dNRPx+T07fd4Z3ZZL6KS6XrSQHGO3QCiu+6g1RbX0G2bKfIl07BTNy2qI2/fcuv3gawMnoH+
OSDz5+sWrLrm5kHdbPTkVxkuwF9S5Fu+fY+tn+fJPV4smhjXNanw9X5joLUvyWdJ8k5V4b0bvAiJ
Y5T0WogB0kYmaFOMjrT4nWG62x/fWvhiW3sS3/yApo8bM485G0wgrxy0q+iYI8L0AO/PuXfSTJLD
t0fthYHJY6D/PeVM8dZPbqlQ/1Nq1WeP+kphGBDi9BjVIpRDr5Wjcd1OTpHa5w8mxjyZQrA9kybn
9Vzs6qffilMN6vUEfg3+EpMV2p3L9x5v60b+ZEWYL2dOUHYyINR6o5yIjRza+jLW16kynURLfXaV
Tg4w0Tv8Jf/gcFZ+Hg67SfdO9LprV7/1UV5891aqTL9wBnKJWTtDsGKcqObEOYxn59DNjrRlM/um
LnAzpWK7KJf5Elv5dyL0e49gvdj3pL6R9LTL6410mE36GZXN8KexwGjvsLntV/k8ObKWuNL/8r7h
CLOMTrxZePvOPNm+9f6eJy+N1iNcD/QqZWqWi35Bt30SiKxuHU0vgb6u1wAzJ+MGNtAV/IRZssiX
1imKorNm7q/BzH2Pp+88j0iMX32VP8vdeDEktuTQG0oJKcVcX5pLM571i3ExHgWHyuQGtsUCNv86
X1HUO+qn1ue5TXaQzutltLgIZiJJeEgO/r91L6L17xLv7JpG/X1/fnOd3P7nf1xkKH5db+nZ868e
e/YwhDWhbIN8jHAtVVhBvxnCGs4M2CqhA4muDDW4Pz17+5NNH99mt1DAeAAd+9Ozx7MBSi/XonWP
/AXWT/9Kz15olD+dSwZyHaJgjM4GtCmb1v3zGAgCna4dxJQTDM5hUhhCch7ZyuamRM601SO474L3
Jrkw4ELF+eLWIBxdwY4zDOtHncQXluDNgQyYNTWgKva6HzTb1hUUu0hw7UrBukPbYeYKKl6kKd87
Qc6rBE0vKYp10UK9HYMTrZbWIG6PK3h9SgnBrxFUv3YY0Rar7FUKC3DspJkFK7DuzAzxgfE0EoRB
2ivnqlZ/cwSV0IjSsyGSFPom0qUk6IauIB4WMBA9Wlpx+DWGmtgJjmJohOeVYC2WBVZOiXGYCD4j
pJHlIBiOcq4LQWQq55AfR0iQbdoc2pX7M3e6w0BF/UOwJXXBm/RS95jSGYVoVfrWQa2sBMeyHLJh
0kG7RCDuSwAN07MozWGpUEyBhn3uoWo24J3QbHNWUWQfD4LNiTQV/JvoOBjza8zTq0XronnWCQ6o
r8IGTaGFuoIfWtrJZyw0TqhXfk8EgzSCStrbxbK+45YmSUpBFslkaKeFa5xEgoeKhMSqEczUYaTB
bjqLBspq1/pLWXBYK8isqWC1ttBbbWiuneC7ovT2NfANGLCCC4vy2JdCsGORW/lqQJfthNhmLQi0
dnmsKpp35EfeBklCnzqMSU8Xqz722FXlIkdWQchVIebKgqFrW7Vz0JmILuCX+zP1rAvPHZZNBLo1
yZKDIVPpq2rSba/nh6OJZnxYX/HfVmlGy0FvbXuOXgs+RGF9mlZhfOT0yaV5lCmojDiAzk0wMGgk
uP7MaqpfiVKsQquE4FL407opPdCuEZrexTzP6DvKUdtSNK0ulLZcIlH6TR+UJcwSbwL9+LAKoSXV
GTXYNE3OmtAfFhgaLvSaPBgPj/ng02ulJWNPo7E8zh3IZGEiaj6DtlS97DBCsi12oBtF+JboUXcQ
+tSr/JL9xGHsdfewhtsxkeDCDjeNl5VXPscSKDtOYiMzl1rnak5uibA3+g5ncu4U59TEk3iJJh8U
enkRIT5PN8H9FXmA8g1Hpq0EdlourAMr7b9UZvmjjpoCv+3sDHuLpeRHZ0oOaRwmxJTe4SzvLaqn
VjvDdbfE9puUQ4t1Xi6fg/GQUPAPob71+hxlSBS4YwupSWh80zxIZgiFLDRzgKemzoq+/267dAGc
4TMfmsJcKKGhIh2lhb/0IwkbKs6qgkYewhuS3FUIkiayU7Dddk4vaDzQAOorRYnMHlV/ldptmwD6
1gJq+kERTetInTi9tezgvSd5wgf5UgteZN8IysS0hRIVSK43iVK8v5Jq5gfO1wS/8klV+kdtjj/v
WATOok/MZjJG6crBWEarnZuq01kEtJF7S7hxOjMtH44pmq/Rkc1pB8vlodp1fFvwJIjANFV5A93p
JOztWRXql3KA4bozlEdjZKFYYqRzPYLhLaORX/SKs1Ai+cJo3Fu64czONlnXCPlMK1rWimf1U6kw
VjoKfq48tod+DjMzgKGCfOzU15vjzkoPcUGFvB/FU92z6URhWAefuUFUoURwxbGa08Bsr2Q1X7s6
5e4WW5goxIvO71OJdlV2rtHinAZjCVkMpzMvXAmtIixbN645XhYUEMDVnLlqc1AW7cQsjHbSO8Ns
HNWFaZZzDVpfhv3zDMGfkSisLRyjPpTTcWEDF586OF0VufyDmg84CrX5rgVIfnbguJA89E6VFLE9
zztTRvvIsZHLH6HdYAHRHcgmRqAZlDMQG0j5Yviw1jwD8TK/P9ViaRHFw6nq2L80dVyktBMqs55X
pS0tEBhLkQeoT4Y6P60t+zMyUP40MYxm2ieGgw+3Gn+NNHcA1NT+CqvmEGbGl7hJ12GdHflOhQ5O
GZw3WEGrQfnL8Gi+N0q+8Xvyu3D8HCmqEBKMvhCB51VqnJWSCzxLdr5JZnnVF/1hl/j5pGoSa6qh
Jlor/qEKScXvjROv8w71uiaM68PaLRzo/gouffrKrKroSxtjiy3QaegLjnU3tSENxHKwVg0hpNAl
SMhk/k/02JvZ0GY9cAjl2hnHE6UEIEW6gEIPPZO+RFPc1YpfVo3Kj1NzUAog1DdDn878LLjKQvU0
S9RzPcLws810upTVjWGrsxoMBDyTk8rs16NK/CpBkGBcl37uB+lL3meXcaAiLptqszwOOPMM3Ukb
wWqjI34xptgBxU3YnJV1GEBtAvWlCwqa6UL2nCYK5Id3jmiqOPX/SXWpqiLeh74zxGwI1bIqcqSn
R7SqsBV9cDTnRLlIJl/x+j1Fl34CdOb68rw6hhUxz6b1KjhCF2nmr7KFf4BSD+60y7u87v8TXNGK
+XuC+w2twdfprfg3v9NbBcsa2bEFDJl0VZSBf6e3WJKpQsQG3UahgEPp65GKb3+ij4tmiPioimBG
PE1vNUUTTma2Y/OX/jUBHNR2Xs0f4Ms6CSuwERX6MA/xdP7UZRemsRqC66rRfcttPHzd8rJWEYsI
Vaipo5JmqFEoMbJRSXJRNS7oUFkhxI+uMlVgH3lYkdWTQtc2AkSLvSJTfbDCWw0R8mkNFPyQtvEP
p+nyy2wgXERF3J86npdPycGsqdO42aVetceljNBTnTqzNvCzk8QTDiUdAqXsAEgwAxuZe62rzCpF
+ZyAGV3FhHnoWdoyN5q1NtiXXtFw/tRDdQZoCEZJ0CdTxNeAdJrdyhG0zFENPhd6l6EhPaSLenSa
qRTRRMR5Qj2hvuIu4H45sNRR8fA6TvKgrJJVlyNmE3uaswLcQLvXw7CtwiVEz8N4kjbJUVMMy8gh
s6U5OqkzdN8zuISGnx/IjY79pCfPVa89iErpsM3sL4zmcYZjIcB3useZSX6VRv53o9XJEfCXAERy
5UH5RhQd+RDfw5bMCy5qTB+xVpSwC0oVa2p63ioagbNKZnKLBXQ86VPzwCxhttVjis6eEdLRlgxv
4budTAQbv/GhQ4Sm84tMcjd6PPywx2CF/gG5Wa79dIfqVKrS9iiy4YNiuIHqAN1hbYTqNbrjxsj4
pDXmM8XQnUaJ9kPVyquxi24kF1hR5mOjGPcnZod5hpUrNVAVGXRNp66B4NDsQypk1nnOCVBBxIIS
Ee1JRvuELJX638RQ/G+5N57pun4YFjSwJSjRkzbFEob5AUvfLiL7RBvkUPshguGwtuBFzi3fO5Rc
fYQpqiCIHRslCa9l3Eqkn0FjA/eTBnZSVPRBPRjHyB8etCGCcJYBdFFNlCPNQjo4xqca8UIEdzwh
vTOgwWMLMZ5KyPKUhtFOW7ukrYlmT6HmKHYLGZ8gwfgcr4AFiogo16HSgHEPsj90ASjOCSmgjgU+
BRa00rz8PBZyQW2gr3shIJQLKaFUiAq5qAspQmYIDeOO9j/SQ6rbTUchRqShSjQM6ioQMkWRYVyW
6BapQsDIQsnIQtFIF9JGnW6Q7Am5I1w81hI+pCdWPVALEqJIuZBH6kv9ohWCSW5tHEEFzaeOEFOS
UVUq4yY4UNBZKnQEl4os4CshwRRrXyvFPZE6b9EJjSZ0EZf1nWyTk5TLSig5eQMC3Eg7+Ug82VnO
UmeZ5LmFQjZgsxwbvN7CDy+SMG9lq1ROfI52CALimxcGhQc70o4QhXM3bSFlQM5MzgMOkgNpyzzH
oJ2Tcn+GpUCHDWkOlhqddHJ4PPvkooZlV2X6cvBcHP2Et19epIeeT1o3CN+/SjgAFqEi4UMKhC0r
8jMTN6DFiGGgJHtfcynRTtUQoA3RL1pLge5MfYwGJRQgPeE8aGJBWFih96vClNDxWcZnFkaFdNtr
vIMdDfvC/yv758MWL2o38zsht7PmthzObyswNtVj5UT86WkG3vsy+/f+0tsXeigaXQ45RaPrn0mQ
zoKqLoObmu3oFeGDLezZjnz3YHdP/eZ14mtk6pqf3EGzPyHdyuqD7XH3o+YTY0j78MeSIlTrEJlj
Z76/15Mx+tsovP2C98P59t958+FfDoIQqttxENRPFpmjcQd4e/b2uMAoQFFJPZCxFb+nU/mtmfD2
+334GMh0cXYcA1R5gT3gEy9s5MXvxUSAUGTZBv8nujHca/8mgqiX7jgI6BmL+qsBUe3ux7A+mw+s
BsEowrblfsD3cBDIj3ccBPyNoAFp0Aa3D4JCzCBNpt5sPYaMvZwPoj6921DoyifduZOPFqKY/IiB
z+eD/AmkmgHw+P5e+zcfBDZkt0HQLKTzgc1x5t++RRAZ6MZbNi7O96N0d8f9G4pXDZp/Z7ekNmtC
Lbyf+YJV+Xw+3O0kps6A7ekgKDunDLr8Cf8/Gk4P0+H1IMAvFf0owuSeDoJ6/3XukfG/t/F/OW+i
4mDa91Pe4VWfzQQWBfxWG+7tfuYMQjrjAyIDvnkI+JsP2+XLQWC7VKHhWjQeRRDav5Ag5u6O0REV
ZpjUiioMDcSPV302EVRWA24gSE/uawItHnnHQcDsQeENKc/dL4dXeROlPwNZEDjIezoTtJ3jIvuk
hYU2zfvHmPByJogiJ8ortrafIYEz3u4hwfmkoPfBeng4RmyZCegOwGoTudRexgR95/MkaaMAddvq
Y1xkWJ/HBPTeNcMURkX7Ogi7xwQ0dC3UJeQ7QXnCwquZQGWBHZKOwL7OBHnnmUB5RabXISyh/hIY
VdaLDtxH2dcDpX7/YLvkSljp6gCRDATvtm+Ryif2TY6UdHD2MyY8bFu7DAKBUWyOFtjeu9+rQpv2
SUX4VoMTvaeDIO+eNZMUi1SIPu1fZgIxAXgKvsr7WmQyPiIwapqMhAAWcVtngjg6OGQRiuiQ7uUW
KeiGO2eM6PXBOUcu7u736uggf+IEKdjI+zoTtN1ngo1HGt1m3Mf/Mgii/nTn+Ks/zpS9nA/G7pFB
/wSsFNjG3zbKu0UBAAAFqj1dFAK0sOOisDCfRmryd1WBV32eN1J6wd+Gwuuez4ed4wNFJixuTQrR
f2lHiNKCRnppikDKb1/PlcJwYsdZweEaOybKLPcffVu9jT9EMJQu3T4PxcOxd5ck6q4UTTf/sR33
atdgVqjAvNBu3tMo8QpE9e8UoXEm4RXF8eR5eODcieQfegx78fZP+9UGvaR/YyHwgn9a1Ratajx1
cWa5m+ZiyT97fbYI4d4LDeIhZuzrFLj/OjusA6IjvA6h2fPQl9qyDsT8wFxmL2YCO+PLrr3gxO8Y
FyG+QEcBvPAwH141YzhWWtjIyup9dnV/xz0sQt8f+HaYD5QZ8BQUttYPb/qq4MSEEVa4NjvJPm8R
8s6JA0NBRm1wwvxLKZooga8TgriCmreX2bRQQ91xaZiCEyZK8g8t/FfzgYOFDN6U/GlPB+Hh7LvL
ohDm1DhtUmrevl/QmSGrUuAK7+s5+yGL2W0QBFLDEU7cd79XRwrlkyg1ILizr+fshwbqLoNABg24
HEEzZvuzlIFTBCpoCrXJ+8Pb/m0Oys7JggYmAWQbAuAPlceX+6RicMAwQH6Bvd/nzUHbfZ8kJJA0
6Sp9uLvfy6FQFUpviGI7zn4fpV7JhP/rpwhdNCMFku0vB2yRTTs2R2yqsXe/Pd0oxJrecbcEzybU
wulZ/mVWcKoEzyLT0dvTQXjoHu0SI2nXQS4XDIT7QXh5umK3pF0JsOkBZrl/oVI4Wu82E0TjFoaR
pYqenfi9OldRppR1DUDLvs4EdfcgSfsBSx1qsQ8zYUuQRByUjGFvG7cPEOVdlgP2CWyYoLf+1rNU
sYg1FKQY9jWDfiiJ7jIIttCjQHxYoBmf502cJy1sXRApuosW+1pl0O8z+x3GgFILJ0U4APgE3/1Y
+M+HAtEOG70m0B57ujkYO8dFTTSv8cCh9fCXQQDfxUqwGag9HQShDb7b5qCZ2KZQedVwU7n7bYmL
eEIzBHsLdxTyhTsOgv5JaJMJx+rtgwBjhjO3TGFuTyeCUPbacQwM0kHVZAsEvCR+W1IlWlcyaMd9
HQRl94lgfqICTdb8yBJ5WWIS5wf+jKT6PiPZv3xRiBjvOBM0Skwywkz3B+fXM4HVgNCrzBjs7UzY
ueIqmhG4Oej66+oKwQLPRJnu5H06vachQblP5nfIEtgbbBk7LfoN92/6ajUImDgmktTa9nUQdk6V
NIPJfgcCf1gOL+MiIUGgIQEI72tIEI4HO4eEu56Ubf6t/2BRmydvNv8VyML/Inj+JihPffzC7qjJ
wW21jcH8t7/wyFl9/edPund3jdxnf1NQle9vft/jE//7v54zl++YH0/+9JEJcnenh3//8Iqvb/7s
Zo/v9fgfV8FteV3eYCR4R9h+eNB7yb3/jlHe+3n9svcovsvjf9tOs/49A96+eh6kt48XWv/8z/+g
eqSJI/Pjf9vl4sn1z6x8vNCTi7Ok/ozja4L4/+rJJ4jrbXtwouDO155e4+bJJ6ker/Xk2Qkwu18/
i5vq1Sdl1EloPuDiaV1e/zPNqnrbLThB7HyL2W38zyYrt44/x7Sdrz+P/5llJZPn8VpPxp+gu/P1
F+VtlW67OIFz54sv49s0fbzOkwf/iOW6apIfWfyzfn15YR2586Ovk/y2DK7jx0v9eXrRwNn98umw
ZdBF3rLzpQ9vyy1jLvjMu186SL0tgUAcPna+9tF1tCWGicLfB1y6qm63jclHLNCjrPrnv1PvNr7d
NjIfsUSPr38SgB/H4clE/IglenxdBtuG5iOWqLh2nm2L7oLEvvNnPb5Nf2Y3wbboJegdH3D98ub2
5+OF/oy7aBXsfvGMZ3+8zpNrf8QyPUaaeMulP2KVcun6trwdtlz+I1bq5jrfMtHFOXTnAd/cttev
c0cDWcEPuPgJ9lzelvAljh87P/lpfH1zuyV3FMWoD7h4k2xL7gQjZOeLnwekjlXwc8vIiFrNzte/
uL4pORKk9ZbpLtgcH3CD9J/JbRpsvcFHLFUMwLlBmV6XP7cGMlHg/ZC3mAW33rZR+ohVK15iwQq4
Caqbbff4iOUr7nGQXRfNtt1KAEk+ZJSOmqD65+RHUOXb3uMjFrN4j+Pr+nbb9T9iPXP9dx3l707W
Oxxm7+8xjbd71n/MwhZvMS2b8fHD/tki9Q9Z2P711jOh6C/uPpOoYWxL2AR15AMuXkXBkDWPl3oy
MB+ylrP4elv2IHCluz/7W54JO8/K+hoRyvi6qR6f9MnQfMjSFWWWLfuwEFnYeWgub/3rbXYSwt9j
94uT4wf1lqTN+IjFetkQCbZs8QKCufujNxSIkm11OQEo3vnyX7hCs22tCgbkzld/Q0J519n+rfmx
JVMWyIB3nnpbWfa3ks/rYu2jsuG2f/a8Fi3+xk18e13+1/8AAAD//w==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Gill Sans MT" panose="020B0502020104020203"/>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microsoft.com/office/2014/relationships/chartEx" Target="../charts/chartEx3.xml"/><Relationship Id="rId5" Type="http://schemas.microsoft.com/office/2014/relationships/chartEx" Target="../charts/chartEx1.xml"/><Relationship Id="rId10" Type="http://schemas.microsoft.com/office/2014/relationships/chartEx" Target="../charts/chartEx2.xml"/><Relationship Id="rId4" Type="http://schemas.openxmlformats.org/officeDocument/2006/relationships/chart" Target="../charts/chart4.xml"/><Relationship Id="rId9" Type="http://schemas.microsoft.com/office/2007/relationships/hdphoto" Target="../media/hdphoto1.wdp"/></Relationships>
</file>

<file path=xl/drawings/_rels/drawing2.xml.rels><?xml version="1.0" encoding="UTF-8" standalone="yes"?>
<Relationships xmlns="http://schemas.openxmlformats.org/package/2006/relationships"><Relationship Id="rId3" Type="http://schemas.microsoft.com/office/2014/relationships/chartEx" Target="../charts/chartEx4.xml"/><Relationship Id="rId2" Type="http://schemas.openxmlformats.org/officeDocument/2006/relationships/chart" Target="../charts/chart8.xml"/><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92332</xdr:colOff>
      <xdr:row>0</xdr:row>
      <xdr:rowOff>190500</xdr:rowOff>
    </xdr:from>
    <xdr:to>
      <xdr:col>36</xdr:col>
      <xdr:colOff>244075</xdr:colOff>
      <xdr:row>47</xdr:row>
      <xdr:rowOff>172760</xdr:rowOff>
    </xdr:to>
    <xdr:sp macro="" textlink="">
      <xdr:nvSpPr>
        <xdr:cNvPr id="2" name="Rectangle 1">
          <a:extLst>
            <a:ext uri="{FF2B5EF4-FFF2-40B4-BE49-F238E27FC236}">
              <a16:creationId xmlns:a16="http://schemas.microsoft.com/office/drawing/2014/main" id="{14ACA76C-D133-4BEB-85DE-B481792D80E5}"/>
            </a:ext>
          </a:extLst>
        </xdr:cNvPr>
        <xdr:cNvSpPr/>
      </xdr:nvSpPr>
      <xdr:spPr>
        <a:xfrm>
          <a:off x="4918332" y="190500"/>
          <a:ext cx="17042743" cy="1042801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45000">
                  <a:schemeClr val="bg2">
                    <a:lumMod val="1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endParaRPr>
        </a:p>
      </xdr:txBody>
    </xdr:sp>
    <xdr:clientData/>
  </xdr:twoCellAnchor>
  <xdr:twoCellAnchor>
    <xdr:from>
      <xdr:col>4</xdr:col>
      <xdr:colOff>161638</xdr:colOff>
      <xdr:row>0</xdr:row>
      <xdr:rowOff>145762</xdr:rowOff>
    </xdr:from>
    <xdr:to>
      <xdr:col>8</xdr:col>
      <xdr:colOff>60156</xdr:colOff>
      <xdr:row>47</xdr:row>
      <xdr:rowOff>163080</xdr:rowOff>
    </xdr:to>
    <xdr:sp macro="" textlink="">
      <xdr:nvSpPr>
        <xdr:cNvPr id="3" name="Rectangle 2">
          <a:extLst>
            <a:ext uri="{FF2B5EF4-FFF2-40B4-BE49-F238E27FC236}">
              <a16:creationId xmlns:a16="http://schemas.microsoft.com/office/drawing/2014/main" id="{9A0B282D-B8A0-4F6E-BEED-E2D18FD344CF}"/>
            </a:ext>
          </a:extLst>
        </xdr:cNvPr>
        <xdr:cNvSpPr/>
      </xdr:nvSpPr>
      <xdr:spPr>
        <a:xfrm>
          <a:off x="2574638" y="145762"/>
          <a:ext cx="2311518" cy="10463068"/>
        </a:xfrm>
        <a:prstGeom prst="rect">
          <a:avLst/>
        </a:prstGeom>
        <a:solidFill>
          <a:schemeClr val="accent4"/>
        </a:solidFill>
        <a:ln>
          <a:solidFill>
            <a:schemeClr val="tx2"/>
          </a:solid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4</xdr:col>
      <xdr:colOff>350520</xdr:colOff>
      <xdr:row>3</xdr:row>
      <xdr:rowOff>201178</xdr:rowOff>
    </xdr:from>
    <xdr:ext cx="1889760" cy="941821"/>
    <xdr:sp macro="" textlink="">
      <xdr:nvSpPr>
        <xdr:cNvPr id="12" name="Rectangle 11">
          <a:extLst>
            <a:ext uri="{FF2B5EF4-FFF2-40B4-BE49-F238E27FC236}">
              <a16:creationId xmlns:a16="http://schemas.microsoft.com/office/drawing/2014/main" id="{CE3C1FB1-7683-4B18-8A53-B12F8121A17D}"/>
            </a:ext>
          </a:extLst>
        </xdr:cNvPr>
        <xdr:cNvSpPr/>
      </xdr:nvSpPr>
      <xdr:spPr>
        <a:xfrm>
          <a:off x="2788920" y="886978"/>
          <a:ext cx="1889760" cy="941821"/>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t">
          <a:spAutoFit/>
          <a:scene3d>
            <a:camera prst="orthographicFront"/>
            <a:lightRig rig="threePt" dir="t"/>
          </a:scene3d>
          <a:sp3d extrusionH="57150">
            <a:bevelT w="38100" h="38100" prst="relaxedInset"/>
          </a:sp3d>
        </a:bodyPr>
        <a:lstStyle/>
        <a:p>
          <a:pPr marL="0" indent="0" algn="ctr"/>
          <a:r>
            <a:rPr lang="en-IN" sz="2400" b="1">
              <a:ln>
                <a:solidFill>
                  <a:srgbClr val="FF0000"/>
                </a:solidFill>
              </a:ln>
              <a:solidFill>
                <a:srgbClr val="FF0000"/>
              </a:solidFill>
              <a:latin typeface="+mn-lt"/>
              <a:ea typeface="+mn-ea"/>
              <a:cs typeface="+mn-cs"/>
            </a:rPr>
            <a:t>🛒</a:t>
          </a:r>
          <a:r>
            <a:rPr lang="en-IN" sz="1600" b="1">
              <a:ln>
                <a:solidFill>
                  <a:schemeClr val="accent1">
                    <a:shade val="15000"/>
                  </a:schemeClr>
                </a:solidFill>
              </a:ln>
              <a:noFill/>
              <a:latin typeface="+mn-lt"/>
              <a:ea typeface="+mn-ea"/>
              <a:cs typeface="+mn-cs"/>
            </a:rPr>
            <a:t>  Orders </a:t>
          </a:r>
        </a:p>
        <a:p>
          <a:pPr marL="0" indent="0" algn="ctr"/>
          <a:r>
            <a:rPr lang="en-IN" sz="1600" b="1" baseline="0">
              <a:ln>
                <a:solidFill>
                  <a:schemeClr val="accent1">
                    <a:shade val="15000"/>
                  </a:schemeClr>
                </a:solidFill>
              </a:ln>
              <a:noFill/>
              <a:latin typeface="+mn-lt"/>
              <a:ea typeface="+mn-ea"/>
              <a:cs typeface="+mn-cs"/>
            </a:rPr>
            <a:t>       </a:t>
          </a:r>
          <a:r>
            <a:rPr lang="en-IN" sz="1600" b="1">
              <a:ln>
                <a:solidFill>
                  <a:schemeClr val="accent1">
                    <a:shade val="15000"/>
                  </a:schemeClr>
                </a:solidFill>
              </a:ln>
              <a:noFill/>
              <a:latin typeface="+mn-lt"/>
              <a:ea typeface="+mn-ea"/>
              <a:cs typeface="+mn-cs"/>
            </a:rPr>
            <a:t>2,400 </a:t>
          </a:r>
        </a:p>
        <a:p>
          <a:pPr marL="0" indent="0" algn="l"/>
          <a:endParaRPr lang="en-IN" sz="1200" b="1">
            <a:ln>
              <a:solidFill>
                <a:schemeClr val="accent1">
                  <a:shade val="15000"/>
                </a:schemeClr>
              </a:solidFill>
            </a:ln>
            <a:noFill/>
            <a:latin typeface="+mn-lt"/>
            <a:ea typeface="+mn-ea"/>
            <a:cs typeface="+mn-cs"/>
          </a:endParaRPr>
        </a:p>
      </xdr:txBody>
    </xdr:sp>
    <xdr:clientData/>
  </xdr:oneCellAnchor>
  <xdr:twoCellAnchor>
    <xdr:from>
      <xdr:col>8</xdr:col>
      <xdr:colOff>333267</xdr:colOff>
      <xdr:row>1</xdr:row>
      <xdr:rowOff>125944</xdr:rowOff>
    </xdr:from>
    <xdr:to>
      <xdr:col>17</xdr:col>
      <xdr:colOff>555624</xdr:colOff>
      <xdr:row>17</xdr:row>
      <xdr:rowOff>174625</xdr:rowOff>
    </xdr:to>
    <xdr:graphicFrame macro="">
      <xdr:nvGraphicFramePr>
        <xdr:cNvPr id="4" name="Chart 3">
          <a:extLst>
            <a:ext uri="{FF2B5EF4-FFF2-40B4-BE49-F238E27FC236}">
              <a16:creationId xmlns:a16="http://schemas.microsoft.com/office/drawing/2014/main" id="{8BDD47CE-D4A4-4A5E-A4AE-A831D6625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190499</xdr:colOff>
      <xdr:row>1</xdr:row>
      <xdr:rowOff>116211</xdr:rowOff>
    </xdr:from>
    <xdr:to>
      <xdr:col>35</xdr:col>
      <xdr:colOff>587374</xdr:colOff>
      <xdr:row>17</xdr:row>
      <xdr:rowOff>174625</xdr:rowOff>
    </xdr:to>
    <xdr:graphicFrame macro="">
      <xdr:nvGraphicFramePr>
        <xdr:cNvPr id="24" name="Chart 23">
          <a:extLst>
            <a:ext uri="{FF2B5EF4-FFF2-40B4-BE49-F238E27FC236}">
              <a16:creationId xmlns:a16="http://schemas.microsoft.com/office/drawing/2014/main" id="{2EB95F0B-0380-40F0-953D-F6906A205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259080</xdr:colOff>
      <xdr:row>18</xdr:row>
      <xdr:rowOff>198121</xdr:rowOff>
    </xdr:from>
    <xdr:to>
      <xdr:col>16</xdr:col>
      <xdr:colOff>350521</xdr:colOff>
      <xdr:row>46</xdr:row>
      <xdr:rowOff>167641</xdr:rowOff>
    </xdr:to>
    <xdr:graphicFrame macro="">
      <xdr:nvGraphicFramePr>
        <xdr:cNvPr id="25" name="Chart 24">
          <a:extLst>
            <a:ext uri="{FF2B5EF4-FFF2-40B4-BE49-F238E27FC236}">
              <a16:creationId xmlns:a16="http://schemas.microsoft.com/office/drawing/2014/main" id="{0C9E62E4-DC5F-42C7-BFA3-CC8C74D1D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72991</xdr:colOff>
      <xdr:row>33</xdr:row>
      <xdr:rowOff>108818</xdr:rowOff>
    </xdr:from>
    <xdr:to>
      <xdr:col>14</xdr:col>
      <xdr:colOff>106680</xdr:colOff>
      <xdr:row>43</xdr:row>
      <xdr:rowOff>121919</xdr:rowOff>
    </xdr:to>
    <xdr:graphicFrame macro="">
      <xdr:nvGraphicFramePr>
        <xdr:cNvPr id="26" name="Chart 25">
          <a:extLst>
            <a:ext uri="{FF2B5EF4-FFF2-40B4-BE49-F238E27FC236}">
              <a16:creationId xmlns:a16="http://schemas.microsoft.com/office/drawing/2014/main" id="{8B197007-B2C6-4CD0-A867-A34FE5C6A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119529</xdr:colOff>
      <xdr:row>27</xdr:row>
      <xdr:rowOff>164353</xdr:rowOff>
    </xdr:from>
    <xdr:to>
      <xdr:col>38</xdr:col>
      <xdr:colOff>582706</xdr:colOff>
      <xdr:row>44</xdr:row>
      <xdr:rowOff>29883</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CDDABB2-43FE-43B7-B665-6A9773F4C0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3284329" y="6336553"/>
              <a:ext cx="463177" cy="37517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63500</xdr:colOff>
      <xdr:row>18</xdr:row>
      <xdr:rowOff>158750</xdr:rowOff>
    </xdr:from>
    <xdr:to>
      <xdr:col>36</xdr:col>
      <xdr:colOff>5549</xdr:colOff>
      <xdr:row>32</xdr:row>
      <xdr:rowOff>63099</xdr:rowOff>
    </xdr:to>
    <xdr:graphicFrame macro="">
      <xdr:nvGraphicFramePr>
        <xdr:cNvPr id="29" name="Chart 28">
          <a:extLst>
            <a:ext uri="{FF2B5EF4-FFF2-40B4-BE49-F238E27FC236}">
              <a16:creationId xmlns:a16="http://schemas.microsoft.com/office/drawing/2014/main" id="{63ECFD5E-FEA0-41DF-BB34-C38F2D2B9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24765</xdr:colOff>
      <xdr:row>32</xdr:row>
      <xdr:rowOff>198755</xdr:rowOff>
    </xdr:from>
    <xdr:to>
      <xdr:col>36</xdr:col>
      <xdr:colOff>0</xdr:colOff>
      <xdr:row>46</xdr:row>
      <xdr:rowOff>190500</xdr:rowOff>
    </xdr:to>
    <xdr:graphicFrame macro="">
      <xdr:nvGraphicFramePr>
        <xdr:cNvPr id="30" name="Chart 29">
          <a:extLst>
            <a:ext uri="{FF2B5EF4-FFF2-40B4-BE49-F238E27FC236}">
              <a16:creationId xmlns:a16="http://schemas.microsoft.com/office/drawing/2014/main" id="{7359DF02-95BB-4A89-96A9-D8512151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350520</xdr:colOff>
      <xdr:row>30</xdr:row>
      <xdr:rowOff>115959</xdr:rowOff>
    </xdr:from>
    <xdr:to>
      <xdr:col>7</xdr:col>
      <xdr:colOff>417898</xdr:colOff>
      <xdr:row>38</xdr:row>
      <xdr:rowOff>143203</xdr:rowOff>
    </xdr:to>
    <mc:AlternateContent xmlns:mc="http://schemas.openxmlformats.org/markup-compatibility/2006" xmlns:a14="http://schemas.microsoft.com/office/drawing/2010/main">
      <mc:Choice Requires="a14">
        <xdr:graphicFrame macro="">
          <xdr:nvGraphicFramePr>
            <xdr:cNvPr id="31" name="Order Mode">
              <a:extLst>
                <a:ext uri="{FF2B5EF4-FFF2-40B4-BE49-F238E27FC236}">
                  <a16:creationId xmlns:a16="http://schemas.microsoft.com/office/drawing/2014/main" id="{881CCF58-E814-4FD8-BC5F-4E3E839595D4}"/>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788920" y="6973959"/>
              <a:ext cx="1896178" cy="1856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39</xdr:row>
      <xdr:rowOff>2623</xdr:rowOff>
    </xdr:from>
    <xdr:to>
      <xdr:col>7</xdr:col>
      <xdr:colOff>396875</xdr:colOff>
      <xdr:row>47</xdr:row>
      <xdr:rowOff>0</xdr:rowOff>
    </xdr:to>
    <mc:AlternateContent xmlns:mc="http://schemas.openxmlformats.org/markup-compatibility/2006" xmlns:a14="http://schemas.microsoft.com/office/drawing/2010/main">
      <mc:Choice Requires="a14">
        <xdr:graphicFrame macro="">
          <xdr:nvGraphicFramePr>
            <xdr:cNvPr id="33" name="Gender Value 1">
              <a:extLst>
                <a:ext uri="{FF2B5EF4-FFF2-40B4-BE49-F238E27FC236}">
                  <a16:creationId xmlns:a16="http://schemas.microsoft.com/office/drawing/2014/main" id="{7D952F35-34B3-4954-9447-566EB5F3F98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2788920" y="8918023"/>
              <a:ext cx="1926658" cy="1490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23808</xdr:colOff>
      <xdr:row>1</xdr:row>
      <xdr:rowOff>0</xdr:rowOff>
    </xdr:from>
    <xdr:to>
      <xdr:col>7</xdr:col>
      <xdr:colOff>332445</xdr:colOff>
      <xdr:row>2</xdr:row>
      <xdr:rowOff>174885</xdr:rowOff>
    </xdr:to>
    <xdr:pic>
      <xdr:nvPicPr>
        <xdr:cNvPr id="34" name="Picture 33">
          <a:extLst>
            <a:ext uri="{FF2B5EF4-FFF2-40B4-BE49-F238E27FC236}">
              <a16:creationId xmlns:a16="http://schemas.microsoft.com/office/drawing/2014/main" id="{0D8EE550-3B22-49C9-8C22-D2BF1A5ABA01}"/>
            </a:ext>
          </a:extLst>
        </xdr:cNvPr>
        <xdr:cNvPicPr>
          <a:picLocks noChangeAspect="1"/>
        </xdr:cNvPicPr>
      </xdr:nvPicPr>
      <xdr:blipFill>
        <a:blip xmlns:r="http://schemas.openxmlformats.org/officeDocument/2006/relationships" r:embed="rId8" cstate="print">
          <a:duotone>
            <a:prstClr val="black"/>
            <a:schemeClr val="accent4">
              <a:tint val="45000"/>
              <a:satMod val="400000"/>
            </a:schemeClr>
          </a:duotone>
          <a:extLst>
            <a:ext uri="{BEBA8EAE-BF5A-486C-A8C5-ECC9F3942E4B}">
              <a14:imgProps xmlns:a14="http://schemas.microsoft.com/office/drawing/2010/main">
                <a14:imgLayer r:embed="rId9">
                  <a14:imgEffect>
                    <a14:artisticGlowEdges/>
                  </a14:imgEffect>
                  <a14:imgEffect>
                    <a14:colorTemperature colorTemp="5900"/>
                  </a14:imgEffect>
                  <a14:imgEffect>
                    <a14:brightnessContrast bright="-20000"/>
                  </a14:imgEffect>
                </a14:imgLayer>
              </a14:imgProps>
            </a:ext>
            <a:ext uri="{28A0092B-C50C-407E-A947-70E740481C1C}">
              <a14:useLocalDpi xmlns:a14="http://schemas.microsoft.com/office/drawing/2010/main" val="0"/>
            </a:ext>
          </a:extLst>
        </a:blip>
        <a:srcRect/>
        <a:stretch/>
      </xdr:blipFill>
      <xdr:spPr>
        <a:xfrm>
          <a:off x="3059902" y="226219"/>
          <a:ext cx="1523074" cy="401104"/>
        </a:xfrm>
        <a:prstGeom prst="rect">
          <a:avLst/>
        </a:prstGeom>
        <a:ln>
          <a:solidFill>
            <a:srgbClr val="FF0000"/>
          </a:solidFill>
        </a:ln>
      </xdr:spPr>
    </xdr:pic>
    <xdr:clientData/>
  </xdr:twoCellAnchor>
  <xdr:twoCellAnchor>
    <xdr:from>
      <xdr:col>4</xdr:col>
      <xdr:colOff>381000</xdr:colOff>
      <xdr:row>8</xdr:row>
      <xdr:rowOff>155775</xdr:rowOff>
    </xdr:from>
    <xdr:to>
      <xdr:col>7</xdr:col>
      <xdr:colOff>441960</xdr:colOff>
      <xdr:row>13</xdr:row>
      <xdr:rowOff>139109</xdr:rowOff>
    </xdr:to>
    <xdr:sp macro="" textlink="">
      <xdr:nvSpPr>
        <xdr:cNvPr id="10" name="Rectangle 9">
          <a:extLst>
            <a:ext uri="{FF2B5EF4-FFF2-40B4-BE49-F238E27FC236}">
              <a16:creationId xmlns:a16="http://schemas.microsoft.com/office/drawing/2014/main" id="{721F5C9B-12DA-4679-97F4-9539B9683951}"/>
            </a:ext>
          </a:extLst>
        </xdr:cNvPr>
        <xdr:cNvSpPr/>
      </xdr:nvSpPr>
      <xdr:spPr>
        <a:xfrm>
          <a:off x="2819400" y="1984575"/>
          <a:ext cx="1889760" cy="1126334"/>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t">
          <a:spAutoFit/>
          <a:scene3d>
            <a:camera prst="orthographicFront"/>
            <a:lightRig rig="threePt" dir="t"/>
          </a:scene3d>
          <a:sp3d extrusionH="57150">
            <a:bevelT w="38100" h="38100" prst="relaxedInset"/>
          </a:sp3d>
        </a:bodyPr>
        <a:lstStyle/>
        <a:p>
          <a:pPr marL="0" indent="0" algn="ctr"/>
          <a:r>
            <a:rPr lang="en-IN" sz="2400" b="1">
              <a:ln>
                <a:solidFill>
                  <a:srgbClr val="FF0000"/>
                </a:solidFill>
              </a:ln>
              <a:solidFill>
                <a:srgbClr val="FF0000"/>
              </a:solidFill>
              <a:latin typeface="+mn-lt"/>
              <a:ea typeface="+mn-ea"/>
              <a:cs typeface="+mn-cs"/>
            </a:rPr>
            <a:t>👕 </a:t>
          </a:r>
          <a:r>
            <a:rPr lang="en-IN" sz="1800" b="0">
              <a:ln>
                <a:solidFill>
                  <a:schemeClr val="tx1">
                    <a:lumMod val="95000"/>
                    <a:lumOff val="5000"/>
                  </a:schemeClr>
                </a:solidFill>
              </a:ln>
              <a:solidFill>
                <a:srgbClr val="FF0000"/>
              </a:solidFill>
              <a:latin typeface="+mn-lt"/>
              <a:ea typeface="+mn-ea"/>
              <a:cs typeface="+mn-cs"/>
            </a:rPr>
            <a:t>Quantity </a:t>
          </a:r>
        </a:p>
        <a:p>
          <a:pPr marL="0" indent="0" algn="ctr"/>
          <a:r>
            <a:rPr lang="en-IN" sz="1800" b="0">
              <a:ln>
                <a:solidFill>
                  <a:schemeClr val="tx1">
                    <a:lumMod val="95000"/>
                    <a:lumOff val="5000"/>
                  </a:schemeClr>
                </a:solidFill>
              </a:ln>
              <a:solidFill>
                <a:srgbClr val="FF0000"/>
              </a:solidFill>
              <a:latin typeface="+mn-lt"/>
              <a:ea typeface="+mn-ea"/>
              <a:cs typeface="+mn-cs"/>
            </a:rPr>
            <a:t>       447 </a:t>
          </a:r>
        </a:p>
        <a:p>
          <a:pPr marL="0" indent="0" algn="ctr"/>
          <a:endParaRPr lang="en-IN" sz="2400" b="1">
            <a:ln>
              <a:solidFill>
                <a:srgbClr val="FF0000"/>
              </a:solidFill>
            </a:ln>
            <a:solidFill>
              <a:srgbClr val="FF0000"/>
            </a:solidFill>
            <a:latin typeface="+mn-lt"/>
            <a:ea typeface="+mn-ea"/>
            <a:cs typeface="+mn-cs"/>
          </a:endParaRPr>
        </a:p>
      </xdr:txBody>
    </xdr:sp>
    <xdr:clientData/>
  </xdr:twoCellAnchor>
  <xdr:twoCellAnchor>
    <xdr:from>
      <xdr:col>4</xdr:col>
      <xdr:colOff>350520</xdr:colOff>
      <xdr:row>14</xdr:row>
      <xdr:rowOff>130131</xdr:rowOff>
    </xdr:from>
    <xdr:to>
      <xdr:col>7</xdr:col>
      <xdr:colOff>441960</xdr:colOff>
      <xdr:row>19</xdr:row>
      <xdr:rowOff>15240</xdr:rowOff>
    </xdr:to>
    <xdr:sp macro="" textlink="">
      <xdr:nvSpPr>
        <xdr:cNvPr id="11" name="Rectangle 10">
          <a:extLst>
            <a:ext uri="{FF2B5EF4-FFF2-40B4-BE49-F238E27FC236}">
              <a16:creationId xmlns:a16="http://schemas.microsoft.com/office/drawing/2014/main" id="{B00C6E2B-ED88-4156-B440-BCDC5DDEF6D3}"/>
            </a:ext>
          </a:extLst>
        </xdr:cNvPr>
        <xdr:cNvSpPr/>
      </xdr:nvSpPr>
      <xdr:spPr>
        <a:xfrm>
          <a:off x="2788920" y="3330531"/>
          <a:ext cx="1920240" cy="1028109"/>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ctr">
          <a:spAutoFit/>
          <a:scene3d>
            <a:camera prst="orthographicFront"/>
            <a:lightRig rig="threePt" dir="t"/>
          </a:scene3d>
          <a:sp3d extrusionH="57150">
            <a:bevelT w="38100" h="38100" prst="relaxedInset"/>
          </a:sp3d>
        </a:bodyPr>
        <a:lstStyle/>
        <a:p>
          <a:pPr marL="0" indent="0" algn="ctr"/>
          <a:r>
            <a:rPr lang="en-IN" sz="2000" b="1">
              <a:ln>
                <a:solidFill>
                  <a:srgbClr val="FF0000"/>
                </a:solidFill>
              </a:ln>
              <a:solidFill>
                <a:schemeClr val="tx1"/>
              </a:solidFill>
              <a:effectLst/>
              <a:latin typeface="+mn-lt"/>
              <a:ea typeface="+mn-ea"/>
              <a:cs typeface="+mn-cs"/>
            </a:rPr>
            <a:t> </a:t>
          </a:r>
          <a:r>
            <a:rPr lang="en-IN" sz="2400" b="1">
              <a:ln>
                <a:solidFill>
                  <a:srgbClr val="FF0000"/>
                </a:solidFill>
              </a:ln>
              <a:solidFill>
                <a:schemeClr val="tx1"/>
              </a:solidFill>
              <a:effectLst/>
              <a:latin typeface="+mn-lt"/>
              <a:ea typeface="+mn-ea"/>
              <a:cs typeface="+mn-cs"/>
            </a:rPr>
            <a:t>💰 </a:t>
          </a:r>
          <a:r>
            <a:rPr lang="en-IN" sz="1800" b="1">
              <a:ln>
                <a:solidFill>
                  <a:schemeClr val="accent1">
                    <a:shade val="15000"/>
                  </a:schemeClr>
                </a:solidFill>
              </a:ln>
              <a:noFill/>
              <a:latin typeface="+mn-lt"/>
              <a:ea typeface="+mn-ea"/>
              <a:cs typeface="+mn-cs"/>
            </a:rPr>
            <a:t>Amount </a:t>
          </a:r>
        </a:p>
        <a:p>
          <a:pPr marL="0" indent="0" algn="ctr"/>
          <a:r>
            <a:rPr lang="en-IN" sz="1800" b="1">
              <a:ln>
                <a:solidFill>
                  <a:schemeClr val="accent1">
                    <a:shade val="15000"/>
                  </a:schemeClr>
                </a:solidFill>
              </a:ln>
              <a:noFill/>
              <a:latin typeface="+mn-lt"/>
              <a:ea typeface="+mn-ea"/>
              <a:cs typeface="+mn-cs"/>
            </a:rPr>
            <a:t>        $31.4k </a:t>
          </a:r>
        </a:p>
        <a:p>
          <a:pPr marL="0" indent="0" algn="l"/>
          <a:endParaRPr lang="en-IN" sz="1800" b="1">
            <a:ln>
              <a:solidFill>
                <a:schemeClr val="accent1">
                  <a:shade val="15000"/>
                </a:schemeClr>
              </a:solidFill>
            </a:ln>
            <a:noFill/>
            <a:latin typeface="+mn-lt"/>
            <a:ea typeface="+mn-ea"/>
            <a:cs typeface="+mn-cs"/>
          </a:endParaRPr>
        </a:p>
      </xdr:txBody>
    </xdr:sp>
    <xdr:clientData/>
  </xdr:twoCellAnchor>
  <xdr:twoCellAnchor>
    <xdr:from>
      <xdr:col>4</xdr:col>
      <xdr:colOff>350520</xdr:colOff>
      <xdr:row>20</xdr:row>
      <xdr:rowOff>17545</xdr:rowOff>
    </xdr:from>
    <xdr:to>
      <xdr:col>7</xdr:col>
      <xdr:colOff>502920</xdr:colOff>
      <xdr:row>25</xdr:row>
      <xdr:rowOff>879</xdr:rowOff>
    </xdr:to>
    <xdr:sp macro="" textlink="">
      <xdr:nvSpPr>
        <xdr:cNvPr id="17" name="Rectangle 16">
          <a:extLst>
            <a:ext uri="{FF2B5EF4-FFF2-40B4-BE49-F238E27FC236}">
              <a16:creationId xmlns:a16="http://schemas.microsoft.com/office/drawing/2014/main" id="{AA61A5E5-12E9-42C3-8F0F-73350FD42933}"/>
            </a:ext>
          </a:extLst>
        </xdr:cNvPr>
        <xdr:cNvSpPr/>
      </xdr:nvSpPr>
      <xdr:spPr>
        <a:xfrm>
          <a:off x="2788920" y="4589545"/>
          <a:ext cx="1981200" cy="1126334"/>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t">
          <a:spAutoFit/>
          <a:scene3d>
            <a:camera prst="orthographicFront"/>
            <a:lightRig rig="threePt" dir="t"/>
          </a:scene3d>
          <a:sp3d extrusionH="57150">
            <a:bevelT w="38100" h="38100" prst="relaxedInset"/>
          </a:sp3d>
        </a:bodyPr>
        <a:lstStyle/>
        <a:p>
          <a:pPr marL="0" indent="0" algn="ctr"/>
          <a:r>
            <a:rPr lang="en-IN" sz="2400" b="1">
              <a:ln>
                <a:solidFill>
                  <a:srgbClr val="FF0000"/>
                </a:solidFill>
              </a:ln>
              <a:solidFill>
                <a:srgbClr val="FF0000"/>
              </a:solidFill>
              <a:latin typeface="+mn-lt"/>
              <a:ea typeface="+mn-ea"/>
              <a:cs typeface="+mn-cs"/>
            </a:rPr>
            <a:t>⭐  </a:t>
          </a:r>
          <a:r>
            <a:rPr lang="en-IN" sz="1800" b="0">
              <a:ln>
                <a:solidFill>
                  <a:schemeClr val="tx1"/>
                </a:solidFill>
              </a:ln>
              <a:solidFill>
                <a:schemeClr val="tx1">
                  <a:lumMod val="95000"/>
                  <a:lumOff val="5000"/>
                </a:schemeClr>
              </a:solidFill>
              <a:latin typeface="+mn-lt"/>
              <a:ea typeface="+mn-ea"/>
              <a:cs typeface="+mn-cs"/>
            </a:rPr>
            <a:t>A</a:t>
          </a:r>
          <a:r>
            <a:rPr lang="en-IN" sz="1800" b="0">
              <a:ln>
                <a:solidFill>
                  <a:schemeClr val="tx1"/>
                </a:solidFill>
              </a:ln>
              <a:solidFill>
                <a:srgbClr val="002060"/>
              </a:solidFill>
              <a:latin typeface="+mn-lt"/>
              <a:ea typeface="+mn-ea"/>
              <a:cs typeface="+mn-cs"/>
            </a:rPr>
            <a:t>vg.Rating </a:t>
          </a:r>
        </a:p>
        <a:p>
          <a:pPr marL="0" indent="0" algn="ctr"/>
          <a:r>
            <a:rPr lang="en-IN" sz="1800" b="0">
              <a:ln>
                <a:solidFill>
                  <a:schemeClr val="tx1"/>
                </a:solidFill>
              </a:ln>
              <a:solidFill>
                <a:srgbClr val="002060"/>
              </a:solidFill>
              <a:latin typeface="+mn-lt"/>
              <a:ea typeface="+mn-ea"/>
              <a:cs typeface="+mn-cs"/>
            </a:rPr>
            <a:t>      4.0 </a:t>
          </a:r>
        </a:p>
        <a:p>
          <a:pPr marL="0" indent="0" algn="ctr"/>
          <a:endParaRPr lang="en-IN" sz="2400" b="1">
            <a:ln>
              <a:solidFill>
                <a:srgbClr val="FF0000"/>
              </a:solidFill>
            </a:ln>
            <a:solidFill>
              <a:srgbClr val="FF0000"/>
            </a:solidFill>
            <a:latin typeface="+mn-lt"/>
            <a:ea typeface="+mn-ea"/>
            <a:cs typeface="+mn-cs"/>
          </a:endParaRPr>
        </a:p>
      </xdr:txBody>
    </xdr:sp>
    <xdr:clientData/>
  </xdr:twoCellAnchor>
  <xdr:twoCellAnchor>
    <xdr:from>
      <xdr:col>4</xdr:col>
      <xdr:colOff>350520</xdr:colOff>
      <xdr:row>25</xdr:row>
      <xdr:rowOff>88899</xdr:rowOff>
    </xdr:from>
    <xdr:to>
      <xdr:col>7</xdr:col>
      <xdr:colOff>411480</xdr:colOff>
      <xdr:row>30</xdr:row>
      <xdr:rowOff>27939</xdr:rowOff>
    </xdr:to>
    <xdr:sp macro="" textlink="">
      <xdr:nvSpPr>
        <xdr:cNvPr id="18" name="Rectangle 17">
          <a:extLst>
            <a:ext uri="{FF2B5EF4-FFF2-40B4-BE49-F238E27FC236}">
              <a16:creationId xmlns:a16="http://schemas.microsoft.com/office/drawing/2014/main" id="{F878AD67-12AF-4808-B005-08EE2101C257}"/>
            </a:ext>
          </a:extLst>
        </xdr:cNvPr>
        <xdr:cNvSpPr/>
      </xdr:nvSpPr>
      <xdr:spPr>
        <a:xfrm>
          <a:off x="2788920" y="5803899"/>
          <a:ext cx="1889760" cy="1082040"/>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ctr">
          <a:noAutofit/>
          <a:scene3d>
            <a:camera prst="orthographicFront"/>
            <a:lightRig rig="threePt" dir="t"/>
          </a:scene3d>
          <a:sp3d extrusionH="57150">
            <a:bevelT w="38100" h="38100" prst="relaxedInset"/>
          </a:sp3d>
        </a:bodyPr>
        <a:lstStyle/>
        <a:p>
          <a:pPr marL="0" indent="0" algn="ctr"/>
          <a:r>
            <a:rPr lang="en-IN" sz="2400" b="1">
              <a:ln>
                <a:solidFill>
                  <a:srgbClr val="FF0000"/>
                </a:solidFill>
              </a:ln>
              <a:noFill/>
              <a:latin typeface="+mn-lt"/>
              <a:ea typeface="+mn-ea"/>
              <a:cs typeface="+mn-cs"/>
            </a:rPr>
            <a:t>📅</a:t>
          </a:r>
          <a:r>
            <a:rPr lang="en-IN" sz="1800" b="1" baseline="0">
              <a:ln>
                <a:solidFill>
                  <a:schemeClr val="accent1">
                    <a:shade val="15000"/>
                  </a:schemeClr>
                </a:solidFill>
              </a:ln>
              <a:noFill/>
              <a:latin typeface="+mn-lt"/>
              <a:ea typeface="+mn-ea"/>
              <a:cs typeface="+mn-cs"/>
            </a:rPr>
            <a:t>   </a:t>
          </a:r>
          <a:r>
            <a:rPr lang="en-IN" sz="1800" b="1">
              <a:ln>
                <a:solidFill>
                  <a:schemeClr val="accent1">
                    <a:shade val="15000"/>
                  </a:schemeClr>
                </a:solidFill>
              </a:ln>
              <a:noFill/>
              <a:latin typeface="+mn-lt"/>
              <a:ea typeface="+mn-ea"/>
              <a:cs typeface="+mn-cs"/>
            </a:rPr>
            <a:t>Days to                 </a:t>
          </a:r>
          <a:r>
            <a:rPr lang="en-IN" sz="1800" b="1" baseline="0">
              <a:ln>
                <a:solidFill>
                  <a:schemeClr val="accent1">
                    <a:shade val="15000"/>
                  </a:schemeClr>
                </a:solidFill>
              </a:ln>
              <a:noFill/>
              <a:latin typeface="+mn-lt"/>
              <a:ea typeface="+mn-ea"/>
              <a:cs typeface="+mn-cs"/>
            </a:rPr>
            <a:t> </a:t>
          </a:r>
          <a:r>
            <a:rPr lang="en-IN" sz="1800" b="1">
              <a:ln>
                <a:solidFill>
                  <a:schemeClr val="accent1">
                    <a:shade val="15000"/>
                  </a:schemeClr>
                </a:solidFill>
              </a:ln>
              <a:noFill/>
              <a:latin typeface="+mn-lt"/>
              <a:ea typeface="+mn-ea"/>
              <a:cs typeface="+mn-cs"/>
            </a:rPr>
            <a:t>Deliver</a:t>
          </a:r>
        </a:p>
        <a:p>
          <a:pPr marL="0" indent="0" algn="ctr"/>
          <a:r>
            <a:rPr lang="en-IN" sz="1800" b="1">
              <a:ln>
                <a:solidFill>
                  <a:schemeClr val="accent1">
                    <a:shade val="15000"/>
                  </a:schemeClr>
                </a:solidFill>
              </a:ln>
              <a:noFill/>
              <a:latin typeface="+mn-lt"/>
              <a:ea typeface="+mn-ea"/>
              <a:cs typeface="+mn-cs"/>
            </a:rPr>
            <a:t>  2.1</a:t>
          </a:r>
        </a:p>
        <a:p>
          <a:pPr marL="0" indent="0" algn="ctr"/>
          <a:r>
            <a:rPr lang="en-IN" sz="1800" b="1">
              <a:ln>
                <a:solidFill>
                  <a:schemeClr val="accent1">
                    <a:shade val="15000"/>
                  </a:schemeClr>
                </a:solidFill>
              </a:ln>
              <a:noFill/>
              <a:latin typeface="+mn-lt"/>
              <a:ea typeface="+mn-ea"/>
              <a:cs typeface="+mn-cs"/>
            </a:rPr>
            <a:t> </a:t>
          </a:r>
        </a:p>
      </xdr:txBody>
    </xdr:sp>
    <xdr:clientData/>
  </xdr:twoCellAnchor>
  <xdr:twoCellAnchor>
    <xdr:from>
      <xdr:col>8</xdr:col>
      <xdr:colOff>105352</xdr:colOff>
      <xdr:row>0</xdr:row>
      <xdr:rowOff>128616</xdr:rowOff>
    </xdr:from>
    <xdr:to>
      <xdr:col>8</xdr:col>
      <xdr:colOff>122670</xdr:colOff>
      <xdr:row>47</xdr:row>
      <xdr:rowOff>180571</xdr:rowOff>
    </xdr:to>
    <xdr:cxnSp macro="">
      <xdr:nvCxnSpPr>
        <xdr:cNvPr id="15" name="Straight Connector 14">
          <a:extLst>
            <a:ext uri="{FF2B5EF4-FFF2-40B4-BE49-F238E27FC236}">
              <a16:creationId xmlns:a16="http://schemas.microsoft.com/office/drawing/2014/main" id="{99055EB6-FF1B-D582-E6CD-C92F1F87128B}"/>
            </a:ext>
          </a:extLst>
        </xdr:cNvPr>
        <xdr:cNvCxnSpPr/>
      </xdr:nvCxnSpPr>
      <xdr:spPr>
        <a:xfrm>
          <a:off x="4931352" y="128616"/>
          <a:ext cx="17318" cy="10497705"/>
        </a:xfrm>
        <a:prstGeom prst="line">
          <a:avLst/>
        </a:prstGeom>
        <a:ln>
          <a:solidFill>
            <a:schemeClr val="bg1"/>
          </a:solidFill>
        </a:ln>
        <a:effectLst>
          <a:outerShdw blurRad="38100" dist="25400" dir="5400000" rotWithShape="0">
            <a:srgbClr val="000000">
              <a:alpha val="55000"/>
            </a:srgbClr>
          </a:outerShdw>
          <a:reflection blurRad="6350" stA="52000" endA="300" endPos="35000" dir="5400000" sy="-100000" algn="bl" rotWithShape="0"/>
        </a:effectLst>
      </xdr:spPr>
      <xdr:style>
        <a:lnRef idx="3">
          <a:schemeClr val="accent4"/>
        </a:lnRef>
        <a:fillRef idx="0">
          <a:schemeClr val="accent4"/>
        </a:fillRef>
        <a:effectRef idx="2">
          <a:schemeClr val="accent4"/>
        </a:effectRef>
        <a:fontRef idx="minor">
          <a:schemeClr val="tx1"/>
        </a:fontRef>
      </xdr:style>
    </xdr:cxnSp>
    <xdr:clientData/>
  </xdr:twoCellAnchor>
  <xdr:twoCellAnchor>
    <xdr:from>
      <xdr:col>16</xdr:col>
      <xdr:colOff>542441</xdr:colOff>
      <xdr:row>19</xdr:row>
      <xdr:rowOff>0</xdr:rowOff>
    </xdr:from>
    <xdr:to>
      <xdr:col>27</xdr:col>
      <xdr:colOff>539750</xdr:colOff>
      <xdr:row>47</xdr:row>
      <xdr:rowOff>31749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A33D03C1-3C15-4AD1-B49A-DB76252356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96041" y="4343400"/>
              <a:ext cx="6702909" cy="64325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12915</xdr:colOff>
      <xdr:row>23</xdr:row>
      <xdr:rowOff>209176</xdr:rowOff>
    </xdr:from>
    <xdr:to>
      <xdr:col>27</xdr:col>
      <xdr:colOff>119528</xdr:colOff>
      <xdr:row>35</xdr:row>
      <xdr:rowOff>44823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3381D294-2715-43C4-B720-A1857A0159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643315" y="5466976"/>
              <a:ext cx="1935413" cy="25788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71887</xdr:colOff>
      <xdr:row>1</xdr:row>
      <xdr:rowOff>100641</xdr:rowOff>
    </xdr:from>
    <xdr:to>
      <xdr:col>28</xdr:col>
      <xdr:colOff>79375</xdr:colOff>
      <xdr:row>17</xdr:row>
      <xdr:rowOff>158750</xdr:rowOff>
    </xdr:to>
    <xdr:graphicFrame macro="">
      <xdr:nvGraphicFramePr>
        <xdr:cNvPr id="7" name="Chart 6">
          <a:extLst>
            <a:ext uri="{FF2B5EF4-FFF2-40B4-BE49-F238E27FC236}">
              <a16:creationId xmlns:a16="http://schemas.microsoft.com/office/drawing/2014/main" id="{DEE88E89-6E1F-4524-BBF3-C5B06AA94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406285</xdr:colOff>
      <xdr:row>71</xdr:row>
      <xdr:rowOff>35675</xdr:rowOff>
    </xdr:from>
    <xdr:to>
      <xdr:col>12</xdr:col>
      <xdr:colOff>675409</xdr:colOff>
      <xdr:row>78</xdr:row>
      <xdr:rowOff>17318</xdr:rowOff>
    </xdr:to>
    <mc:AlternateContent xmlns:mc="http://schemas.openxmlformats.org/markup-compatibility/2006" xmlns:a14="http://schemas.microsoft.com/office/drawing/2010/main">
      <mc:Choice Requires="a14">
        <xdr:graphicFrame macro="">
          <xdr:nvGraphicFramePr>
            <xdr:cNvPr id="18" name="Gender Value" hidden="1">
              <a:extLst>
                <a:ext uri="{FF2B5EF4-FFF2-40B4-BE49-F238E27FC236}">
                  <a16:creationId xmlns:a16="http://schemas.microsoft.com/office/drawing/2014/main" id="{8E6B30AB-9A45-A663-21BF-58ABA4C0CBA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519853" y="12946380"/>
              <a:ext cx="1853738" cy="1557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1393421</xdr:colOff>
      <xdr:row>68</xdr:row>
      <xdr:rowOff>96289</xdr:rowOff>
    </xdr:from>
    <xdr:to>
      <xdr:col>15</xdr:col>
      <xdr:colOff>300644</xdr:colOff>
      <xdr:row>79</xdr:row>
      <xdr:rowOff>201064</xdr:rowOff>
    </xdr:to>
    <mc:AlternateContent xmlns:mc="http://schemas.openxmlformats.org/markup-compatibility/2006" xmlns:a14="http://schemas.microsoft.com/office/drawing/2010/main">
      <mc:Choice Requires="a14">
        <xdr:graphicFrame macro="">
          <xdr:nvGraphicFramePr>
            <xdr:cNvPr id="19" name="Order Mode 1" hidden="1">
              <a:extLst>
                <a:ext uri="{FF2B5EF4-FFF2-40B4-BE49-F238E27FC236}">
                  <a16:creationId xmlns:a16="http://schemas.microsoft.com/office/drawing/2014/main" id="{9F08335F-A8FE-4916-2B08-E9557AC30E78}"/>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1334057" y="1246147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20</xdr:col>
          <xdr:colOff>0</xdr:colOff>
          <xdr:row>8</xdr:row>
          <xdr:rowOff>0</xdr:rowOff>
        </xdr:from>
        <xdr:to>
          <xdr:col>22</xdr:col>
          <xdr:colOff>865910</xdr:colOff>
          <xdr:row>14</xdr:row>
          <xdr:rowOff>0</xdr:rowOff>
        </xdr:to>
        <xdr:pic>
          <xdr:nvPicPr>
            <xdr:cNvPr id="4" name="Picture 3" hidden="1">
              <a:extLst>
                <a:ext uri="{FF2B5EF4-FFF2-40B4-BE49-F238E27FC236}">
                  <a16:creationId xmlns:a16="http://schemas.microsoft.com/office/drawing/2014/main" id="{59098DAE-1D67-7E05-C74C-CB00BA25DD60}"/>
                </a:ext>
              </a:extLst>
            </xdr:cNvPr>
            <xdr:cNvPicPr>
              <a:picLocks noChangeAspect="1" noChangeArrowheads="1"/>
              <a:extLst>
                <a:ext uri="{84589F7E-364E-4C9E-8A38-B11213B215E9}">
                  <a14:cameraTool cellRange="$N$6:$R$11" spid="_x0000_s4152"/>
                </a:ext>
              </a:extLst>
            </xdr:cNvPicPr>
          </xdr:nvPicPr>
          <xdr:blipFill>
            <a:blip xmlns:r="http://schemas.openxmlformats.org/officeDocument/2006/relationships" r:embed="rId1"/>
            <a:srcRect/>
            <a:stretch>
              <a:fillRect/>
            </a:stretch>
          </xdr:blipFill>
          <xdr:spPr bwMode="auto">
            <a:xfrm>
              <a:off x="16815955" y="1801091"/>
              <a:ext cx="3022023" cy="135081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1338263</xdr:colOff>
      <xdr:row>1</xdr:row>
      <xdr:rowOff>38100</xdr:rowOff>
    </xdr:from>
    <xdr:to>
      <xdr:col>19</xdr:col>
      <xdr:colOff>485775</xdr:colOff>
      <xdr:row>12</xdr:row>
      <xdr:rowOff>190500</xdr:rowOff>
    </xdr:to>
    <xdr:graphicFrame macro="">
      <xdr:nvGraphicFramePr>
        <xdr:cNvPr id="5" name="Chart 4">
          <a:extLst>
            <a:ext uri="{FF2B5EF4-FFF2-40B4-BE49-F238E27FC236}">
              <a16:creationId xmlns:a16="http://schemas.microsoft.com/office/drawing/2014/main" id="{E8F6165B-338A-8261-E61D-F48A8060C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28575</xdr:colOff>
      <xdr:row>38</xdr:row>
      <xdr:rowOff>171450</xdr:rowOff>
    </xdr:from>
    <xdr:to>
      <xdr:col>49</xdr:col>
      <xdr:colOff>0</xdr:colOff>
      <xdr:row>59</xdr:row>
      <xdr:rowOff>19050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A1B4BB1-6297-4B05-B432-9E1F5D4A5F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9667815" y="8858250"/>
              <a:ext cx="5457825" cy="4648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dekula Alla Rasool" refreshedDate="46273.948763425928" createdVersion="8" refreshedVersion="8" minRefreshableVersion="3" recordCount="2400" xr:uid="{53AEEFA1-04A8-4F9E-BBD2-6B927F14ACF8}">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40061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398E9-8960-4317-AFBD-8D7260CC001C}"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2:H40"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h="1" x="2"/>
        <item h="1" x="1"/>
        <item x="3"/>
        <item h="1"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45C0BF-A4AD-4AB2-9CC6-C3F917ADB52B}" name="Pivotratinj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H60:N65"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h="1" x="1"/>
        <item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6" format="13" series="1">
      <pivotArea type="data" outline="0" fieldPosition="0">
        <references count="2">
          <reference field="4294967294" count="1" selected="0">
            <x v="0"/>
          </reference>
          <reference field="9" count="1" selected="0">
            <x v="0"/>
          </reference>
        </references>
      </pivotArea>
    </chartFormat>
    <chartFormat chart="16" format="14" series="1">
      <pivotArea type="data" outline="0" fieldPosition="0">
        <references count="2">
          <reference field="4294967294" count="1" selected="0">
            <x v="0"/>
          </reference>
          <reference field="9" count="1" selected="0">
            <x v="1"/>
          </reference>
        </references>
      </pivotArea>
    </chartFormat>
    <chartFormat chart="16" format="15" series="1">
      <pivotArea type="data" outline="0" fieldPosition="0">
        <references count="2">
          <reference field="4294967294" count="1" selected="0">
            <x v="0"/>
          </reference>
          <reference field="9" count="1" selected="0">
            <x v="2"/>
          </reference>
        </references>
      </pivotArea>
    </chartFormat>
    <chartFormat chart="16" format="16" series="1">
      <pivotArea type="data" outline="0" fieldPosition="0">
        <references count="2">
          <reference field="4294967294" count="1" selected="0">
            <x v="0"/>
          </reference>
          <reference field="9" count="1" selected="0">
            <x v="3"/>
          </reference>
        </references>
      </pivotArea>
    </chartFormat>
    <chartFormat chart="16"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0236A-2405-4678-B0A3-B29FBAAC81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31:V3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items count="5">
        <item x="0"/>
        <item x="2"/>
        <item x="1"/>
        <item x="3"/>
        <item t="default"/>
      </items>
    </pivotField>
    <pivotField showAll="0"/>
    <pivotField showAll="0"/>
    <pivotField showAll="0"/>
    <pivotField showAll="0"/>
    <pivotField showAll="0"/>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21C92-5750-40A7-9811-12A019D7E470}"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16:E30"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2" numFmtId="164"/>
  </dataField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31E4B2-D8A8-4AD9-8884-62DA0C01FF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1:R5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pivotField showAll="0"/>
    <pivotField showAll="0"/>
    <pivotField showAll="0"/>
    <pivotField showAll="0"/>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0EEDCD-7AF6-43BE-828A-12F5C001B5B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V41:Y6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2"/>
        <item h="1" x="1"/>
        <item x="3"/>
        <item h="1"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22">
    <i>
      <x/>
      <x/>
    </i>
    <i r="1">
      <x v="2"/>
    </i>
    <i r="1">
      <x v="6"/>
    </i>
    <i r="1">
      <x v="11"/>
    </i>
    <i r="1">
      <x v="12"/>
    </i>
    <i r="1">
      <x v="14"/>
    </i>
    <i r="1">
      <x v="16"/>
    </i>
    <i r="1">
      <x v="18"/>
    </i>
    <i r="1">
      <x v="23"/>
    </i>
    <i r="1">
      <x v="30"/>
    </i>
    <i r="1">
      <x v="33"/>
    </i>
    <i r="1">
      <x v="35"/>
    </i>
    <i r="1">
      <x v="36"/>
    </i>
    <i r="1">
      <x v="37"/>
    </i>
    <i r="1">
      <x v="38"/>
    </i>
    <i r="1">
      <x v="40"/>
    </i>
    <i r="1">
      <x v="41"/>
    </i>
    <i r="1">
      <x v="42"/>
    </i>
    <i r="1">
      <x v="48"/>
    </i>
    <i r="1">
      <x v="49"/>
    </i>
    <i r="1">
      <x v="50"/>
    </i>
    <i r="1">
      <x v="53"/>
    </i>
  </rowItems>
  <colFields count="1">
    <field x="-2"/>
  </colFields>
  <colItems count="2">
    <i>
      <x/>
    </i>
    <i i="1">
      <x v="1"/>
    </i>
  </colItems>
  <dataFields count="2">
    <dataField name="Sum of Quantity" fld="2" baseField="0" baseItem="0"/>
    <dataField name="Sum of Amount" fld="4" baseField="0" baseItem="0"/>
  </dataFields>
  <chartFormats count="2">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EE02C9-0F92-4D51-BBE1-F510F524BF9B}" name="pvt 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6:L23"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chartFormats count="4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28" series="1">
      <pivotArea type="data" outline="0" fieldPosition="0">
        <references count="2">
          <reference field="4294967294" count="1" selected="0">
            <x v="0"/>
          </reference>
          <reference field="14" count="1" selected="0">
            <x v="0"/>
          </reference>
        </references>
      </pivotArea>
    </chartFormat>
    <chartFormat chart="3" format="29">
      <pivotArea type="data" outline="0" fieldPosition="0">
        <references count="3">
          <reference field="4294967294" count="1" selected="0">
            <x v="0"/>
          </reference>
          <reference field="8" count="1" selected="0">
            <x v="0"/>
          </reference>
          <reference field="14" count="1" selected="0">
            <x v="0"/>
          </reference>
        </references>
      </pivotArea>
    </chartFormat>
    <chartFormat chart="3" format="30">
      <pivotArea type="data" outline="0" fieldPosition="0">
        <references count="3">
          <reference field="4294967294" count="1" selected="0">
            <x v="0"/>
          </reference>
          <reference field="8" count="1" selected="0">
            <x v="1"/>
          </reference>
          <reference field="14" count="1" selected="0">
            <x v="0"/>
          </reference>
        </references>
      </pivotArea>
    </chartFormat>
    <chartFormat chart="3" format="31">
      <pivotArea type="data" outline="0" fieldPosition="0">
        <references count="3">
          <reference field="4294967294" count="1" selected="0">
            <x v="0"/>
          </reference>
          <reference field="8" count="1" selected="0">
            <x v="2"/>
          </reference>
          <reference field="14" count="1" selected="0">
            <x v="0"/>
          </reference>
        </references>
      </pivotArea>
    </chartFormat>
    <chartFormat chart="3" format="32">
      <pivotArea type="data" outline="0" fieldPosition="0">
        <references count="3">
          <reference field="4294967294" count="1" selected="0">
            <x v="0"/>
          </reference>
          <reference field="8" count="1" selected="0">
            <x v="3"/>
          </reference>
          <reference field="14" count="1" selected="0">
            <x v="0"/>
          </reference>
        </references>
      </pivotArea>
    </chartFormat>
    <chartFormat chart="3" format="33">
      <pivotArea type="data" outline="0" fieldPosition="0">
        <references count="3">
          <reference field="4294967294" count="1" selected="0">
            <x v="0"/>
          </reference>
          <reference field="8" count="1" selected="0">
            <x v="4"/>
          </reference>
          <reference field="14" count="1" selected="0">
            <x v="0"/>
          </reference>
        </references>
      </pivotArea>
    </chartFormat>
    <chartFormat chart="3" format="34" series="1">
      <pivotArea type="data" outline="0" fieldPosition="0">
        <references count="2">
          <reference field="4294967294" count="1" selected="0">
            <x v="0"/>
          </reference>
          <reference field="14" count="1" selected="0">
            <x v="1"/>
          </reference>
        </references>
      </pivotArea>
    </chartFormat>
    <chartFormat chart="3" format="35">
      <pivotArea type="data" outline="0" fieldPosition="0">
        <references count="3">
          <reference field="4294967294" count="1" selected="0">
            <x v="0"/>
          </reference>
          <reference field="8" count="1" selected="0">
            <x v="0"/>
          </reference>
          <reference field="14" count="1" selected="0">
            <x v="1"/>
          </reference>
        </references>
      </pivotArea>
    </chartFormat>
    <chartFormat chart="3" format="36">
      <pivotArea type="data" outline="0" fieldPosition="0">
        <references count="3">
          <reference field="4294967294" count="1" selected="0">
            <x v="0"/>
          </reference>
          <reference field="8" count="1" selected="0">
            <x v="1"/>
          </reference>
          <reference field="14" count="1" selected="0">
            <x v="1"/>
          </reference>
        </references>
      </pivotArea>
    </chartFormat>
    <chartFormat chart="3" format="37">
      <pivotArea type="data" outline="0" fieldPosition="0">
        <references count="3">
          <reference field="4294967294" count="1" selected="0">
            <x v="0"/>
          </reference>
          <reference field="8" count="1" selected="0">
            <x v="2"/>
          </reference>
          <reference field="14" count="1" selected="0">
            <x v="1"/>
          </reference>
        </references>
      </pivotArea>
    </chartFormat>
    <chartFormat chart="3" format="38">
      <pivotArea type="data" outline="0" fieldPosition="0">
        <references count="3">
          <reference field="4294967294" count="1" selected="0">
            <x v="0"/>
          </reference>
          <reference field="8" count="1" selected="0">
            <x v="3"/>
          </reference>
          <reference field="14" count="1" selected="0">
            <x v="1"/>
          </reference>
        </references>
      </pivotArea>
    </chartFormat>
    <chartFormat chart="3" format="39">
      <pivotArea type="data" outline="0" fieldPosition="0">
        <references count="3">
          <reference field="4294967294" count="1" selected="0">
            <x v="0"/>
          </reference>
          <reference field="8" count="1" selected="0">
            <x v="4"/>
          </reference>
          <reference field="14" count="1" selected="0">
            <x v="1"/>
          </reference>
        </references>
      </pivotArea>
    </chartFormat>
    <chartFormat chart="3" format="40" series="1">
      <pivotArea type="data" outline="0" fieldPosition="0">
        <references count="2">
          <reference field="4294967294" count="1" selected="0">
            <x v="0"/>
          </reference>
          <reference field="14" count="1" selected="0">
            <x v="2"/>
          </reference>
        </references>
      </pivotArea>
    </chartFormat>
    <chartFormat chart="3" format="41">
      <pivotArea type="data" outline="0" fieldPosition="0">
        <references count="3">
          <reference field="4294967294" count="1" selected="0">
            <x v="0"/>
          </reference>
          <reference field="8" count="1" selected="0">
            <x v="0"/>
          </reference>
          <reference field="14" count="1" selected="0">
            <x v="2"/>
          </reference>
        </references>
      </pivotArea>
    </chartFormat>
    <chartFormat chart="3" format="42">
      <pivotArea type="data" outline="0" fieldPosition="0">
        <references count="3">
          <reference field="4294967294" count="1" selected="0">
            <x v="0"/>
          </reference>
          <reference field="8" count="1" selected="0">
            <x v="1"/>
          </reference>
          <reference field="14" count="1" selected="0">
            <x v="2"/>
          </reference>
        </references>
      </pivotArea>
    </chartFormat>
    <chartFormat chart="3" format="43">
      <pivotArea type="data" outline="0" fieldPosition="0">
        <references count="3">
          <reference field="4294967294" count="1" selected="0">
            <x v="0"/>
          </reference>
          <reference field="8" count="1" selected="0">
            <x v="2"/>
          </reference>
          <reference field="14" count="1" selected="0">
            <x v="2"/>
          </reference>
        </references>
      </pivotArea>
    </chartFormat>
    <chartFormat chart="3" format="44">
      <pivotArea type="data" outline="0" fieldPosition="0">
        <references count="3">
          <reference field="4294967294" count="1" selected="0">
            <x v="0"/>
          </reference>
          <reference field="8" count="1" selected="0">
            <x v="3"/>
          </reference>
          <reference field="14" count="1" selected="0">
            <x v="2"/>
          </reference>
        </references>
      </pivotArea>
    </chartFormat>
    <chartFormat chart="3" format="45">
      <pivotArea type="data" outline="0" fieldPosition="0">
        <references count="3">
          <reference field="4294967294" count="1" selected="0">
            <x v="0"/>
          </reference>
          <reference field="8" count="1" selected="0">
            <x v="4"/>
          </reference>
          <reference field="14" count="1" selected="0">
            <x v="2"/>
          </reference>
        </references>
      </pivotArea>
    </chartFormat>
    <chartFormat chart="3" format="46" series="1">
      <pivotArea type="data" outline="0" fieldPosition="0">
        <references count="2">
          <reference field="4294967294" count="1" selected="0">
            <x v="0"/>
          </reference>
          <reference field="14" count="1" selected="0">
            <x v="3"/>
          </reference>
        </references>
      </pivotArea>
    </chartFormat>
    <chartFormat chart="3" format="47">
      <pivotArea type="data" outline="0" fieldPosition="0">
        <references count="3">
          <reference field="4294967294" count="1" selected="0">
            <x v="0"/>
          </reference>
          <reference field="8" count="1" selected="0">
            <x v="0"/>
          </reference>
          <reference field="14" count="1" selected="0">
            <x v="3"/>
          </reference>
        </references>
      </pivotArea>
    </chartFormat>
    <chartFormat chart="3" format="48">
      <pivotArea type="data" outline="0" fieldPosition="0">
        <references count="3">
          <reference field="4294967294" count="1" selected="0">
            <x v="0"/>
          </reference>
          <reference field="8" count="1" selected="0">
            <x v="1"/>
          </reference>
          <reference field="14" count="1" selected="0">
            <x v="3"/>
          </reference>
        </references>
      </pivotArea>
    </chartFormat>
    <chartFormat chart="3" format="49">
      <pivotArea type="data" outline="0" fieldPosition="0">
        <references count="3">
          <reference field="4294967294" count="1" selected="0">
            <x v="0"/>
          </reference>
          <reference field="8" count="1" selected="0">
            <x v="2"/>
          </reference>
          <reference field="14" count="1" selected="0">
            <x v="3"/>
          </reference>
        </references>
      </pivotArea>
    </chartFormat>
    <chartFormat chart="3" format="50">
      <pivotArea type="data" outline="0" fieldPosition="0">
        <references count="3">
          <reference field="4294967294" count="1" selected="0">
            <x v="0"/>
          </reference>
          <reference field="8" count="1" selected="0">
            <x v="3"/>
          </reference>
          <reference field="14" count="1" selected="0">
            <x v="3"/>
          </reference>
        </references>
      </pivotArea>
    </chartFormat>
    <chartFormat chart="3" format="51">
      <pivotArea type="data" outline="0" fieldPosition="0">
        <references count="3">
          <reference field="4294967294" count="1" selected="0">
            <x v="0"/>
          </reference>
          <reference field="8" count="1" selected="0">
            <x v="4"/>
          </reference>
          <reference field="14" count="1" selected="0">
            <x v="3"/>
          </reference>
        </references>
      </pivotArea>
    </chartFormat>
    <chartFormat chart="0" format="4">
      <pivotArea type="data" outline="0" fieldPosition="0">
        <references count="3">
          <reference field="4294967294" count="1" selected="0">
            <x v="0"/>
          </reference>
          <reference field="8" count="1" selected="0">
            <x v="0"/>
          </reference>
          <reference field="14" count="1" selected="0">
            <x v="0"/>
          </reference>
        </references>
      </pivotArea>
    </chartFormat>
    <chartFormat chart="0" format="5">
      <pivotArea type="data" outline="0" fieldPosition="0">
        <references count="3">
          <reference field="4294967294" count="1" selected="0">
            <x v="0"/>
          </reference>
          <reference field="8" count="1" selected="0">
            <x v="1"/>
          </reference>
          <reference field="14" count="1" selected="0">
            <x v="0"/>
          </reference>
        </references>
      </pivotArea>
    </chartFormat>
    <chartFormat chart="0" format="6">
      <pivotArea type="data" outline="0" fieldPosition="0">
        <references count="3">
          <reference field="4294967294" count="1" selected="0">
            <x v="0"/>
          </reference>
          <reference field="8" count="1" selected="0">
            <x v="2"/>
          </reference>
          <reference field="14" count="1" selected="0">
            <x v="0"/>
          </reference>
        </references>
      </pivotArea>
    </chartFormat>
    <chartFormat chart="0" format="7">
      <pivotArea type="data" outline="0" fieldPosition="0">
        <references count="3">
          <reference field="4294967294" count="1" selected="0">
            <x v="0"/>
          </reference>
          <reference field="8" count="1" selected="0">
            <x v="3"/>
          </reference>
          <reference field="14" count="1" selected="0">
            <x v="0"/>
          </reference>
        </references>
      </pivotArea>
    </chartFormat>
    <chartFormat chart="0" format="8">
      <pivotArea type="data" outline="0" fieldPosition="0">
        <references count="3">
          <reference field="4294967294" count="1" selected="0">
            <x v="0"/>
          </reference>
          <reference field="8" count="1" selected="0">
            <x v="4"/>
          </reference>
          <reference field="14" count="1" selected="0">
            <x v="0"/>
          </reference>
        </references>
      </pivotArea>
    </chartFormat>
    <chartFormat chart="0" format="9">
      <pivotArea type="data" outline="0" fieldPosition="0">
        <references count="3">
          <reference field="4294967294" count="1" selected="0">
            <x v="0"/>
          </reference>
          <reference field="8" count="1" selected="0">
            <x v="0"/>
          </reference>
          <reference field="14" count="1" selected="0">
            <x v="1"/>
          </reference>
        </references>
      </pivotArea>
    </chartFormat>
    <chartFormat chart="0" format="10">
      <pivotArea type="data" outline="0" fieldPosition="0">
        <references count="3">
          <reference field="4294967294" count="1" selected="0">
            <x v="0"/>
          </reference>
          <reference field="8" count="1" selected="0">
            <x v="1"/>
          </reference>
          <reference field="14" count="1" selected="0">
            <x v="1"/>
          </reference>
        </references>
      </pivotArea>
    </chartFormat>
    <chartFormat chart="0" format="11">
      <pivotArea type="data" outline="0" fieldPosition="0">
        <references count="3">
          <reference field="4294967294" count="1" selected="0">
            <x v="0"/>
          </reference>
          <reference field="8" count="1" selected="0">
            <x v="2"/>
          </reference>
          <reference field="14" count="1" selected="0">
            <x v="1"/>
          </reference>
        </references>
      </pivotArea>
    </chartFormat>
    <chartFormat chart="0" format="12">
      <pivotArea type="data" outline="0" fieldPosition="0">
        <references count="3">
          <reference field="4294967294" count="1" selected="0">
            <x v="0"/>
          </reference>
          <reference field="8" count="1" selected="0">
            <x v="3"/>
          </reference>
          <reference field="14" count="1" selected="0">
            <x v="1"/>
          </reference>
        </references>
      </pivotArea>
    </chartFormat>
    <chartFormat chart="0" format="13">
      <pivotArea type="data" outline="0" fieldPosition="0">
        <references count="3">
          <reference field="4294967294" count="1" selected="0">
            <x v="0"/>
          </reference>
          <reference field="8" count="1" selected="0">
            <x v="4"/>
          </reference>
          <reference field="14" count="1" selected="0">
            <x v="1"/>
          </reference>
        </references>
      </pivotArea>
    </chartFormat>
    <chartFormat chart="0" format="14">
      <pivotArea type="data" outline="0" fieldPosition="0">
        <references count="3">
          <reference field="4294967294" count="1" selected="0">
            <x v="0"/>
          </reference>
          <reference field="8" count="1" selected="0">
            <x v="0"/>
          </reference>
          <reference field="14" count="1" selected="0">
            <x v="2"/>
          </reference>
        </references>
      </pivotArea>
    </chartFormat>
    <chartFormat chart="0" format="15">
      <pivotArea type="data" outline="0" fieldPosition="0">
        <references count="3">
          <reference field="4294967294" count="1" selected="0">
            <x v="0"/>
          </reference>
          <reference field="8" count="1" selected="0">
            <x v="1"/>
          </reference>
          <reference field="14" count="1" selected="0">
            <x v="2"/>
          </reference>
        </references>
      </pivotArea>
    </chartFormat>
    <chartFormat chart="0" format="16">
      <pivotArea type="data" outline="0" fieldPosition="0">
        <references count="3">
          <reference field="4294967294" count="1" selected="0">
            <x v="0"/>
          </reference>
          <reference field="8" count="1" selected="0">
            <x v="2"/>
          </reference>
          <reference field="14" count="1" selected="0">
            <x v="2"/>
          </reference>
        </references>
      </pivotArea>
    </chartFormat>
    <chartFormat chart="0" format="17">
      <pivotArea type="data" outline="0" fieldPosition="0">
        <references count="3">
          <reference field="4294967294" count="1" selected="0">
            <x v="0"/>
          </reference>
          <reference field="8" count="1" selected="0">
            <x v="3"/>
          </reference>
          <reference field="14" count="1" selected="0">
            <x v="2"/>
          </reference>
        </references>
      </pivotArea>
    </chartFormat>
    <chartFormat chart="0" format="18">
      <pivotArea type="data" outline="0" fieldPosition="0">
        <references count="3">
          <reference field="4294967294" count="1" selected="0">
            <x v="0"/>
          </reference>
          <reference field="8" count="1" selected="0">
            <x v="4"/>
          </reference>
          <reference field="14" count="1" selected="0">
            <x v="2"/>
          </reference>
        </references>
      </pivotArea>
    </chartFormat>
    <chartFormat chart="0" format="19">
      <pivotArea type="data" outline="0" fieldPosition="0">
        <references count="3">
          <reference field="4294967294" count="1" selected="0">
            <x v="0"/>
          </reference>
          <reference field="8" count="1" selected="0">
            <x v="0"/>
          </reference>
          <reference field="14" count="1" selected="0">
            <x v="3"/>
          </reference>
        </references>
      </pivotArea>
    </chartFormat>
    <chartFormat chart="0" format="20">
      <pivotArea type="data" outline="0" fieldPosition="0">
        <references count="3">
          <reference field="4294967294" count="1" selected="0">
            <x v="0"/>
          </reference>
          <reference field="8" count="1" selected="0">
            <x v="1"/>
          </reference>
          <reference field="14" count="1" selected="0">
            <x v="3"/>
          </reference>
        </references>
      </pivotArea>
    </chartFormat>
    <chartFormat chart="0" format="21">
      <pivotArea type="data" outline="0" fieldPosition="0">
        <references count="3">
          <reference field="4294967294" count="1" selected="0">
            <x v="0"/>
          </reference>
          <reference field="8" count="1" selected="0">
            <x v="2"/>
          </reference>
          <reference field="14" count="1" selected="0">
            <x v="3"/>
          </reference>
        </references>
      </pivotArea>
    </chartFormat>
    <chartFormat chart="0" format="22">
      <pivotArea type="data" outline="0" fieldPosition="0">
        <references count="3">
          <reference field="4294967294" count="1" selected="0">
            <x v="0"/>
          </reference>
          <reference field="8" count="1" selected="0">
            <x v="3"/>
          </reference>
          <reference field="14" count="1" selected="0">
            <x v="3"/>
          </reference>
        </references>
      </pivotArea>
    </chartFormat>
    <chartFormat chart="0" format="23">
      <pivotArea type="data" outline="0" fieldPosition="0">
        <references count="3">
          <reference field="4294967294" count="1" selected="0">
            <x v="0"/>
          </reference>
          <reference field="8" count="1" selected="0">
            <x v="4"/>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B7F1D5-F4A1-448E-B7B8-1AD19236D134}"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G5"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h="1" x="2"/>
        <item h="1" x="1"/>
        <item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2"/>
    <dataField name="Average of Rating C" fld="9" subtotal="average" baseField="0" baseItem="2"/>
    <dataField name="Average of Days to Deliver"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01DEED-530D-477A-9AA3-782E6EB491E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56:D6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h="1" x="1"/>
        <item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1">
    <i>
      <x/>
    </i>
    <i>
      <x v="1"/>
    </i>
    <i>
      <x v="2"/>
    </i>
    <i>
      <x v="3"/>
    </i>
    <i>
      <x v="4"/>
    </i>
    <i>
      <x v="5"/>
    </i>
    <i>
      <x v="6"/>
    </i>
    <i>
      <x v="8"/>
    </i>
    <i>
      <x v="9"/>
    </i>
    <i>
      <x v="14"/>
    </i>
    <i t="grand">
      <x/>
    </i>
  </rowItems>
  <colItems count="1">
    <i/>
  </colItems>
  <dataFields count="1">
    <dataField name="Count of TX 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C5605E8-ED5F-4BDD-B8DE-4EC3E2647841}" sourceName="Order Mode">
  <pivotTables>
    <pivotTable tabId="5" name="Pivotratinjg"/>
    <pivotTable tabId="5" name="pvttrend"/>
    <pivotTable tabId="5" name="PivotTable13"/>
    <pivotTable tabId="5" name="pvtsummary"/>
    <pivotTable tabId="5" name="pvtproduct"/>
    <pivotTable tabId="5" name="PivotTable7"/>
  </pivotTables>
  <data>
    <tabular pivotCacheId="64006129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0709415-B399-4E7E-9C70-5C5A623CE4CF}" sourceName="Gender Value">
  <pivotTables>
    <pivotTable tabId="5" name="Pivotratinjg"/>
    <pivotTable tabId="5" name="PivotTable13"/>
    <pivotTable tabId="5" name="PivotTable7"/>
    <pivotTable tabId="5" name="pvtproduct"/>
    <pivotTable tabId="5" name="pvtsummary"/>
    <pivotTable tabId="5" name="pvttrend"/>
  </pivotTables>
  <data>
    <tabular pivotCacheId="640061299">
      <items count="4">
        <i x="2"/>
        <i x="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7330FAF-DAD8-40C4-94B5-B4D9EEED196E}" cache="Slicer_Order_Mode" caption="Order Mode" rowHeight="247650"/>
  <slicer name="Gender Value 1" xr10:uid="{E8460D7F-B32A-4914-8BD1-2444B231C84C}" cache="Slicer_Gender_Value" caption="Gender Val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9A97172E-33C2-41E6-9858-076D10588FB6}" cache="Slicer_Order_Mode" caption="Order Mode" rowHeight="247650"/>
  <slicer name="Gender Value" xr10:uid="{E1739222-5179-447F-A0AA-6322A5421F83}"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Dividend">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349" workbookViewId="0">
      <selection activeCell="Q2379" sqref="Q2379"/>
    </sheetView>
  </sheetViews>
  <sheetFormatPr defaultRowHeight="18" x14ac:dyDescent="0.5"/>
  <cols>
    <col min="2" max="2" width="19.109375" customWidth="1"/>
    <col min="3" max="3" width="8.109375" customWidth="1"/>
    <col min="4" max="4" width="9.109375" customWidth="1"/>
    <col min="5" max="5" width="7.44140625" customWidth="1"/>
    <col min="6" max="6" width="10" customWidth="1"/>
    <col min="7" max="7" width="9.44140625" customWidth="1"/>
    <col min="8" max="8" width="15.6640625" customWidth="1"/>
    <col min="9" max="9" width="10.6640625" customWidth="1"/>
    <col min="10" max="10" width="7.77734375" customWidth="1"/>
    <col min="11" max="11" width="8.77734375" customWidth="1"/>
    <col min="12" max="12" width="19.6640625" customWidth="1"/>
    <col min="13" max="13" width="13.33203125" customWidth="1"/>
    <col min="14" max="14" width="9.33203125" customWidth="1"/>
    <col min="15" max="15" width="12.109375" customWidth="1"/>
  </cols>
  <sheetData>
    <row r="1" spans="1:15" x14ac:dyDescent="0.5">
      <c r="A1" t="s">
        <v>0</v>
      </c>
      <c r="B1" t="s">
        <v>1</v>
      </c>
      <c r="C1" t="s">
        <v>2</v>
      </c>
      <c r="D1" t="s">
        <v>3</v>
      </c>
      <c r="E1" t="s">
        <v>4</v>
      </c>
      <c r="F1" t="s">
        <v>5</v>
      </c>
      <c r="G1" t="s">
        <v>6</v>
      </c>
      <c r="H1" t="s">
        <v>7</v>
      </c>
      <c r="I1" t="s">
        <v>8</v>
      </c>
      <c r="J1" t="s">
        <v>9</v>
      </c>
      <c r="K1" t="s">
        <v>10</v>
      </c>
      <c r="L1" t="s">
        <v>11</v>
      </c>
      <c r="M1" s="2" t="s">
        <v>12</v>
      </c>
      <c r="N1" s="2" t="s">
        <v>13</v>
      </c>
      <c r="O1" s="2" t="s">
        <v>14</v>
      </c>
    </row>
    <row r="2" spans="1:15" x14ac:dyDescent="0.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8" x14ac:dyDescent="0.5"/>
  <cols>
    <col min="1" max="1" width="3.6640625" customWidth="1"/>
    <col min="2" max="2" width="52.77734375" customWidth="1"/>
  </cols>
  <sheetData>
    <row r="2" spans="2:2" x14ac:dyDescent="0.5">
      <c r="B2" s="3" t="s">
        <v>2503</v>
      </c>
    </row>
    <row r="3" spans="2:2" x14ac:dyDescent="0.5">
      <c r="B3" s="4" t="s">
        <v>2504</v>
      </c>
    </row>
    <row r="4" spans="2:2" x14ac:dyDescent="0.5">
      <c r="B4" s="4" t="s">
        <v>2505</v>
      </c>
    </row>
    <row r="5" spans="2:2" x14ac:dyDescent="0.5">
      <c r="B5" s="4" t="s">
        <v>2506</v>
      </c>
    </row>
    <row r="6" spans="2:2" x14ac:dyDescent="0.5">
      <c r="B6" s="4" t="s">
        <v>2507</v>
      </c>
    </row>
    <row r="7" spans="2:2" x14ac:dyDescent="0.5">
      <c r="B7" s="4" t="s">
        <v>2508</v>
      </c>
    </row>
    <row r="10" spans="2:2" x14ac:dyDescent="0.5">
      <c r="B10" s="3" t="s">
        <v>2509</v>
      </c>
    </row>
    <row r="11" spans="2:2" x14ac:dyDescent="0.5">
      <c r="B11" t="s">
        <v>2510</v>
      </c>
    </row>
    <row r="12" spans="2:2" x14ac:dyDescent="0.5">
      <c r="B12" t="s">
        <v>2511</v>
      </c>
    </row>
    <row r="13" spans="2:2" x14ac:dyDescent="0.5">
      <c r="B13" t="s">
        <v>2512</v>
      </c>
    </row>
    <row r="14" spans="2:2" x14ac:dyDescent="0.5">
      <c r="B14" t="s">
        <v>2513</v>
      </c>
    </row>
    <row r="15" spans="2:2" x14ac:dyDescent="0.5">
      <c r="B15" t="s">
        <v>2514</v>
      </c>
    </row>
    <row r="16" spans="2:2" x14ac:dyDescent="0.5">
      <c r="B16" t="s">
        <v>2515</v>
      </c>
    </row>
    <row r="17" spans="2:2" x14ac:dyDescent="0.5">
      <c r="B17" t="s">
        <v>2516</v>
      </c>
    </row>
    <row r="18" spans="2:2" x14ac:dyDescent="0.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F321-99B9-4FC0-B456-D3F9DFC9166F}">
  <dimension ref="A1"/>
  <sheetViews>
    <sheetView tabSelected="1" zoomScale="48" zoomScaleNormal="50" workbookViewId="0">
      <selection activeCell="AO9" sqref="AO9"/>
    </sheetView>
  </sheetViews>
  <sheetFormatPr defaultRowHeight="18" x14ac:dyDescent="0.5"/>
  <cols>
    <col min="6" max="7"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C924-0559-4E50-973C-D5D5519FBB0A}">
  <dimension ref="C3:AM99"/>
  <sheetViews>
    <sheetView zoomScale="80" workbookViewId="0">
      <selection activeCell="M18" sqref="M18"/>
    </sheetView>
  </sheetViews>
  <sheetFormatPr defaultRowHeight="18" x14ac:dyDescent="0.5"/>
  <cols>
    <col min="3" max="3" width="14.6640625" bestFit="1" customWidth="1"/>
    <col min="4" max="4" width="17.33203125" bestFit="1" customWidth="1"/>
    <col min="5" max="5" width="16.77734375" bestFit="1" customWidth="1"/>
    <col min="6" max="6" width="20.77734375" bestFit="1" customWidth="1"/>
    <col min="7" max="7" width="27.6640625" bestFit="1" customWidth="1"/>
    <col min="8" max="8" width="16.33203125" bestFit="1" customWidth="1"/>
    <col min="9" max="9" width="15.44140625" bestFit="1" customWidth="1"/>
    <col min="10" max="10" width="6.88671875" bestFit="1" customWidth="1"/>
    <col min="11" max="11" width="10.21875" bestFit="1" customWidth="1"/>
    <col min="12" max="12" width="12.88671875" bestFit="1" customWidth="1"/>
    <col min="13" max="13" width="19.77734375" bestFit="1" customWidth="1"/>
    <col min="14" max="14" width="15.44140625" bestFit="1" customWidth="1"/>
    <col min="15" max="15" width="6.77734375" bestFit="1" customWidth="1"/>
    <col min="16" max="16" width="5.77734375" bestFit="1" customWidth="1"/>
    <col min="17" max="17" width="6.109375" bestFit="1" customWidth="1"/>
    <col min="18" max="18" width="12.88671875" bestFit="1" customWidth="1"/>
    <col min="21" max="21" width="14.5546875" bestFit="1" customWidth="1"/>
    <col min="22" max="22" width="16.88671875" bestFit="1" customWidth="1"/>
    <col min="23" max="23" width="21.21875" bestFit="1" customWidth="1"/>
    <col min="24" max="24" width="17.33203125" bestFit="1" customWidth="1"/>
    <col min="25" max="25" width="16.77734375" bestFit="1" customWidth="1"/>
    <col min="26" max="26" width="10.88671875" customWidth="1"/>
    <col min="27" max="27" width="18.77734375" bestFit="1" customWidth="1"/>
    <col min="28" max="28" width="21" bestFit="1" customWidth="1"/>
    <col min="29" max="29" width="14.5546875" bestFit="1" customWidth="1"/>
    <col min="30" max="30" width="19.6640625" customWidth="1"/>
    <col min="31" max="31" width="14.21875" customWidth="1"/>
    <col min="32" max="32" width="19.77734375" bestFit="1" customWidth="1"/>
    <col min="33" max="33" width="21" bestFit="1" customWidth="1"/>
    <col min="34" max="34" width="14" bestFit="1" customWidth="1"/>
    <col min="35" max="35" width="10.77734375" customWidth="1"/>
    <col min="36" max="36" width="19.6640625" bestFit="1" customWidth="1"/>
    <col min="37" max="37" width="14.21875" bestFit="1" customWidth="1"/>
    <col min="38" max="38" width="13.5546875" bestFit="1" customWidth="1"/>
  </cols>
  <sheetData>
    <row r="3" spans="3:18" x14ac:dyDescent="0.5">
      <c r="C3">
        <v>1</v>
      </c>
      <c r="I3" t="s">
        <v>2524</v>
      </c>
    </row>
    <row r="4" spans="3:18" x14ac:dyDescent="0.5">
      <c r="C4" t="s">
        <v>2519</v>
      </c>
      <c r="D4" t="s">
        <v>2520</v>
      </c>
      <c r="E4" t="s">
        <v>2521</v>
      </c>
      <c r="F4" t="s">
        <v>2522</v>
      </c>
      <c r="G4" t="s">
        <v>2523</v>
      </c>
      <c r="I4" t="s">
        <v>2518</v>
      </c>
      <c r="J4" t="s">
        <v>2525</v>
      </c>
      <c r="K4" t="s">
        <v>4</v>
      </c>
      <c r="L4" t="s">
        <v>2526</v>
      </c>
      <c r="M4" t="s">
        <v>12</v>
      </c>
    </row>
    <row r="5" spans="3:18" x14ac:dyDescent="0.5">
      <c r="C5">
        <v>75</v>
      </c>
      <c r="D5">
        <v>317</v>
      </c>
      <c r="E5">
        <v>17034.099999999999</v>
      </c>
      <c r="F5">
        <v>3.8133333333333335</v>
      </c>
      <c r="G5">
        <v>2.2933333333333334</v>
      </c>
      <c r="I5" t="str">
        <f>TEXT(C5,"#,##")</f>
        <v>75</v>
      </c>
      <c r="J5" t="str">
        <f t="shared" ref="J5" si="0">TEXT(D5,"#,##")</f>
        <v>317</v>
      </c>
      <c r="K5" t="str">
        <f>TEXT(E5,"$#,##,.0k")</f>
        <v>$17.0k</v>
      </c>
      <c r="L5" t="str">
        <f>TEXT(F5,"#,##,0.0")</f>
        <v>3.8</v>
      </c>
      <c r="M5" t="str">
        <f>TEXT(G5,"#,##,0.0")</f>
        <v>2.3</v>
      </c>
    </row>
    <row r="7" spans="3:18" x14ac:dyDescent="0.5">
      <c r="N7" s="8"/>
      <c r="O7" s="9"/>
      <c r="P7" s="9"/>
      <c r="Q7" s="9"/>
      <c r="R7" s="9"/>
    </row>
    <row r="8" spans="3:18" x14ac:dyDescent="0.5">
      <c r="N8" s="8"/>
      <c r="O8" s="9"/>
      <c r="P8" s="9"/>
      <c r="Q8" s="9"/>
      <c r="R8" s="9"/>
    </row>
    <row r="9" spans="3:18" x14ac:dyDescent="0.5">
      <c r="N9" s="8"/>
      <c r="O9" s="9"/>
      <c r="P9" s="9"/>
      <c r="Q9" s="9"/>
      <c r="R9" s="9"/>
    </row>
    <row r="10" spans="3:18" x14ac:dyDescent="0.5">
      <c r="N10" s="8"/>
      <c r="O10" s="9"/>
      <c r="P10" s="9"/>
      <c r="Q10" s="9"/>
      <c r="R10" s="9"/>
    </row>
    <row r="11" spans="3:18" x14ac:dyDescent="0.5">
      <c r="N11" s="8"/>
      <c r="O11" s="9"/>
      <c r="P11" s="9"/>
      <c r="Q11" s="9"/>
      <c r="R11" s="9"/>
    </row>
    <row r="15" spans="3:18" x14ac:dyDescent="0.5">
      <c r="O15" t="str">
        <f>H17</f>
        <v>Female</v>
      </c>
      <c r="P15" t="str">
        <f t="shared" ref="P15:R15" si="1">I17</f>
        <v>Male</v>
      </c>
      <c r="Q15" t="str">
        <f t="shared" si="1"/>
        <v>Other</v>
      </c>
      <c r="R15" t="str">
        <f t="shared" si="1"/>
        <v>Unknown</v>
      </c>
    </row>
    <row r="16" spans="3:18" x14ac:dyDescent="0.5">
      <c r="C16" s="5" t="s">
        <v>2527</v>
      </c>
      <c r="D16" t="s">
        <v>2520</v>
      </c>
      <c r="E16" t="s">
        <v>2521</v>
      </c>
      <c r="G16" s="5" t="s">
        <v>2521</v>
      </c>
      <c r="H16" s="5" t="s">
        <v>2533</v>
      </c>
      <c r="N16" t="str">
        <f>G18</f>
        <v>App</v>
      </c>
      <c r="O16" s="9">
        <f t="shared" ref="O16:R16" si="2">H18</f>
        <v>0.18961825201634841</v>
      </c>
      <c r="P16" s="9">
        <f t="shared" si="2"/>
        <v>0.12262322351336576</v>
      </c>
      <c r="Q16" s="9">
        <f t="shared" si="2"/>
        <v>1.060537752469185E-2</v>
      </c>
      <c r="R16" s="9">
        <f t="shared" si="2"/>
        <v>3.0599220547662797E-2</v>
      </c>
    </row>
    <row r="17" spans="3:22" x14ac:dyDescent="0.5">
      <c r="C17" s="6">
        <v>1</v>
      </c>
      <c r="D17">
        <v>10</v>
      </c>
      <c r="E17" s="7">
        <v>307.79999999999995</v>
      </c>
      <c r="G17" s="5" t="s">
        <v>2527</v>
      </c>
      <c r="H17" t="s">
        <v>2531</v>
      </c>
      <c r="I17" t="s">
        <v>2530</v>
      </c>
      <c r="J17" t="s">
        <v>2532</v>
      </c>
      <c r="K17" t="s">
        <v>2529</v>
      </c>
      <c r="L17" t="s">
        <v>2528</v>
      </c>
      <c r="N17" t="str">
        <f t="shared" ref="N17:N20" si="3">G19</f>
        <v>Instagram</v>
      </c>
      <c r="O17" s="9">
        <f t="shared" ref="O17:O20" si="4">H19</f>
        <v>5.0283982091147303E-2</v>
      </c>
      <c r="P17" s="9">
        <f t="shared" ref="P17:P20" si="5">I19</f>
        <v>4.3060781812819873E-2</v>
      </c>
      <c r="Q17" s="9">
        <f t="shared" ref="Q17:Q20" si="6">J19</f>
        <v>1.5320025675641944E-3</v>
      </c>
      <c r="R17" s="9">
        <f t="shared" ref="R17:R20" si="7">K19</f>
        <v>1.7794988689097006E-2</v>
      </c>
    </row>
    <row r="18" spans="3:22" x14ac:dyDescent="0.5">
      <c r="C18" s="6">
        <v>2</v>
      </c>
      <c r="D18">
        <v>7</v>
      </c>
      <c r="E18" s="7">
        <v>446.59999999999997</v>
      </c>
      <c r="G18" s="6" t="s">
        <v>18</v>
      </c>
      <c r="H18" s="8">
        <v>0.18961825201634841</v>
      </c>
      <c r="I18" s="8">
        <v>0.12262322351336576</v>
      </c>
      <c r="J18" s="8">
        <v>1.060537752469185E-2</v>
      </c>
      <c r="K18" s="8">
        <v>3.0599220547662797E-2</v>
      </c>
      <c r="L18" s="8">
        <v>0.35344607360206881</v>
      </c>
      <c r="N18" t="str">
        <f t="shared" si="3"/>
        <v>Partner App</v>
      </c>
      <c r="O18" s="9">
        <f t="shared" si="4"/>
        <v>6.3496059750411282E-2</v>
      </c>
      <c r="P18" s="9">
        <f t="shared" si="5"/>
        <v>4.6071629863988765E-2</v>
      </c>
      <c r="Q18" s="9">
        <f t="shared" si="6"/>
        <v>2.306247051322625E-3</v>
      </c>
      <c r="R18" s="9">
        <f t="shared" si="7"/>
        <v>3.8927934093844286E-3</v>
      </c>
    </row>
    <row r="19" spans="3:22" x14ac:dyDescent="0.5">
      <c r="C19" s="6">
        <v>3</v>
      </c>
      <c r="D19">
        <v>23</v>
      </c>
      <c r="E19" s="7">
        <v>1626.5</v>
      </c>
      <c r="G19" s="6" t="s">
        <v>51</v>
      </c>
      <c r="H19" s="8">
        <v>5.0283982091147303E-2</v>
      </c>
      <c r="I19" s="8">
        <v>4.3060781812819873E-2</v>
      </c>
      <c r="J19" s="8">
        <v>1.5320025675641944E-3</v>
      </c>
      <c r="K19" s="8">
        <v>1.7794988689097006E-2</v>
      </c>
      <c r="L19" s="8">
        <v>0.11267175516062837</v>
      </c>
      <c r="N19" t="str">
        <f t="shared" si="3"/>
        <v>Target.com</v>
      </c>
      <c r="O19" s="9">
        <f t="shared" si="4"/>
        <v>9.6337892927149532E-2</v>
      </c>
      <c r="P19" s="9">
        <f t="shared" si="5"/>
        <v>6.7920115842382611E-2</v>
      </c>
      <c r="Q19" s="9">
        <f t="shared" si="6"/>
        <v>5.4979832664581261E-3</v>
      </c>
      <c r="R19" s="9">
        <f t="shared" si="7"/>
        <v>1.2933041488102518E-2</v>
      </c>
    </row>
    <row r="20" spans="3:22" x14ac:dyDescent="0.5">
      <c r="C20" s="6">
        <v>4</v>
      </c>
      <c r="D20">
        <v>38</v>
      </c>
      <c r="E20" s="7">
        <v>1603.8999999999999</v>
      </c>
      <c r="G20" s="6" t="s">
        <v>70</v>
      </c>
      <c r="H20" s="8">
        <v>6.3496059750411282E-2</v>
      </c>
      <c r="I20" s="8">
        <v>4.6071629863988765E-2</v>
      </c>
      <c r="J20" s="8">
        <v>2.306247051322625E-3</v>
      </c>
      <c r="K20" s="8">
        <v>3.8927934093844286E-3</v>
      </c>
      <c r="L20" s="8">
        <v>0.11576673007510711</v>
      </c>
      <c r="N20" t="str">
        <f t="shared" si="3"/>
        <v>Website</v>
      </c>
      <c r="O20" s="9">
        <f t="shared" si="4"/>
        <v>0.12522098709469262</v>
      </c>
      <c r="P20" s="9">
        <f t="shared" si="5"/>
        <v>9.1492740283116228E-2</v>
      </c>
      <c r="Q20" s="9">
        <f t="shared" si="6"/>
        <v>6.3042760790965081E-3</v>
      </c>
      <c r="R20" s="9">
        <f t="shared" si="7"/>
        <v>1.2408404181197551E-2</v>
      </c>
    </row>
    <row r="21" spans="3:22" x14ac:dyDescent="0.5">
      <c r="C21" s="6">
        <v>5</v>
      </c>
      <c r="D21">
        <v>9</v>
      </c>
      <c r="E21" s="7">
        <v>876.3</v>
      </c>
      <c r="G21" s="6" t="s">
        <v>40</v>
      </c>
      <c r="H21" s="8">
        <v>9.6337892927149532E-2</v>
      </c>
      <c r="I21" s="8">
        <v>6.7920115842382611E-2</v>
      </c>
      <c r="J21" s="8">
        <v>5.4979832664581261E-3</v>
      </c>
      <c r="K21" s="8">
        <v>1.2933041488102518E-2</v>
      </c>
      <c r="L21" s="8">
        <v>0.1826890335240928</v>
      </c>
    </row>
    <row r="22" spans="3:22" x14ac:dyDescent="0.5">
      <c r="C22" s="6">
        <v>6</v>
      </c>
      <c r="D22">
        <v>18</v>
      </c>
      <c r="E22" s="7">
        <v>700.3</v>
      </c>
      <c r="G22" s="6" t="s">
        <v>35</v>
      </c>
      <c r="H22" s="8">
        <v>0.12522098709469262</v>
      </c>
      <c r="I22" s="8">
        <v>9.1492740283116228E-2</v>
      </c>
      <c r="J22" s="8">
        <v>6.3042760790965081E-3</v>
      </c>
      <c r="K22" s="8">
        <v>1.2408404181197551E-2</v>
      </c>
      <c r="L22" s="8">
        <v>0.23542640763810288</v>
      </c>
      <c r="N22" s="8"/>
      <c r="O22" s="8"/>
      <c r="P22" s="8"/>
      <c r="Q22" s="8"/>
      <c r="R22" s="8"/>
      <c r="S22" s="8"/>
    </row>
    <row r="23" spans="3:22" x14ac:dyDescent="0.5">
      <c r="C23" s="6">
        <v>7</v>
      </c>
      <c r="D23">
        <v>18</v>
      </c>
      <c r="E23" s="7">
        <v>809.1</v>
      </c>
      <c r="G23" s="6" t="s">
        <v>2528</v>
      </c>
      <c r="H23" s="8">
        <v>0.52495717387974916</v>
      </c>
      <c r="I23" s="8">
        <v>0.3711684913156732</v>
      </c>
      <c r="J23" s="8">
        <v>2.6245886489133303E-2</v>
      </c>
      <c r="K23" s="8">
        <v>7.7628448315444312E-2</v>
      </c>
      <c r="L23" s="8">
        <v>1</v>
      </c>
    </row>
    <row r="24" spans="3:22" x14ac:dyDescent="0.5">
      <c r="C24" s="6">
        <v>8</v>
      </c>
      <c r="D24">
        <v>13</v>
      </c>
      <c r="E24" s="7">
        <v>761</v>
      </c>
    </row>
    <row r="25" spans="3:22" x14ac:dyDescent="0.5">
      <c r="C25" s="6">
        <v>9</v>
      </c>
      <c r="D25">
        <v>20</v>
      </c>
      <c r="E25" s="7">
        <v>1153.8</v>
      </c>
    </row>
    <row r="26" spans="3:22" x14ac:dyDescent="0.5">
      <c r="C26" s="6">
        <v>10</v>
      </c>
      <c r="D26">
        <v>58</v>
      </c>
      <c r="E26" s="7">
        <v>3760.1000000000004</v>
      </c>
    </row>
    <row r="27" spans="3:22" x14ac:dyDescent="0.5">
      <c r="C27" s="6">
        <v>11</v>
      </c>
      <c r="D27">
        <v>63</v>
      </c>
      <c r="E27" s="7">
        <v>2579.3000000000002</v>
      </c>
    </row>
    <row r="28" spans="3:22" x14ac:dyDescent="0.5">
      <c r="C28" s="6">
        <v>12</v>
      </c>
      <c r="D28">
        <v>25</v>
      </c>
      <c r="E28" s="7">
        <v>1944.3</v>
      </c>
    </row>
    <row r="29" spans="3:22" x14ac:dyDescent="0.5">
      <c r="C29" s="6">
        <v>13</v>
      </c>
      <c r="D29">
        <v>15</v>
      </c>
      <c r="E29" s="7">
        <v>465.09999999999997</v>
      </c>
    </row>
    <row r="30" spans="3:22" x14ac:dyDescent="0.5">
      <c r="C30" s="6" t="s">
        <v>2528</v>
      </c>
      <c r="D30">
        <v>317</v>
      </c>
      <c r="E30" s="7">
        <v>17034.099999999999</v>
      </c>
    </row>
    <row r="31" spans="3:22" x14ac:dyDescent="0.5">
      <c r="M31" s="5" t="s">
        <v>2520</v>
      </c>
      <c r="N31" s="5" t="s">
        <v>2533</v>
      </c>
      <c r="U31" s="5" t="s">
        <v>2527</v>
      </c>
      <c r="V31" t="s">
        <v>2520</v>
      </c>
    </row>
    <row r="32" spans="3:22" x14ac:dyDescent="0.5">
      <c r="G32" s="5" t="s">
        <v>2527</v>
      </c>
      <c r="H32" t="s">
        <v>2519</v>
      </c>
      <c r="M32" s="5" t="s">
        <v>2527</v>
      </c>
      <c r="O32" t="s">
        <v>27</v>
      </c>
      <c r="P32" t="s">
        <v>23</v>
      </c>
      <c r="Q32" t="s">
        <v>89</v>
      </c>
      <c r="R32" t="s">
        <v>2528</v>
      </c>
      <c r="U32" s="6"/>
      <c r="V32">
        <v>736</v>
      </c>
    </row>
    <row r="33" spans="7:39" x14ac:dyDescent="0.5">
      <c r="G33" s="6">
        <v>1</v>
      </c>
      <c r="H33">
        <v>19</v>
      </c>
      <c r="M33" s="6" t="s">
        <v>44</v>
      </c>
      <c r="N33">
        <v>98</v>
      </c>
      <c r="O33">
        <v>744</v>
      </c>
      <c r="P33">
        <v>713</v>
      </c>
      <c r="Q33">
        <v>90</v>
      </c>
      <c r="R33">
        <v>1645</v>
      </c>
      <c r="U33" s="6" t="s">
        <v>27</v>
      </c>
      <c r="V33">
        <v>6272</v>
      </c>
    </row>
    <row r="34" spans="7:39" x14ac:dyDescent="0.5">
      <c r="G34" s="6">
        <v>2</v>
      </c>
      <c r="H34">
        <v>8</v>
      </c>
      <c r="M34" s="6" t="s">
        <v>39</v>
      </c>
      <c r="N34">
        <v>214</v>
      </c>
      <c r="O34">
        <v>716</v>
      </c>
      <c r="P34">
        <v>598</v>
      </c>
      <c r="Q34">
        <v>18</v>
      </c>
      <c r="R34">
        <v>1546</v>
      </c>
      <c r="U34" s="6" t="s">
        <v>23</v>
      </c>
      <c r="V34">
        <v>4672</v>
      </c>
    </row>
    <row r="35" spans="7:39" x14ac:dyDescent="0.5">
      <c r="G35" s="6">
        <v>3</v>
      </c>
      <c r="H35">
        <v>15</v>
      </c>
      <c r="M35" s="6" t="s">
        <v>26</v>
      </c>
      <c r="N35">
        <v>137</v>
      </c>
      <c r="O35">
        <v>627</v>
      </c>
      <c r="P35">
        <v>393</v>
      </c>
      <c r="Q35">
        <v>29</v>
      </c>
      <c r="R35">
        <v>1186</v>
      </c>
      <c r="U35" s="6" t="s">
        <v>89</v>
      </c>
      <c r="V35">
        <v>317</v>
      </c>
    </row>
    <row r="36" spans="7:39" x14ac:dyDescent="0.5">
      <c r="G36" s="6">
        <v>4</v>
      </c>
      <c r="H36">
        <v>9</v>
      </c>
      <c r="M36" s="6" t="s">
        <v>22</v>
      </c>
      <c r="N36">
        <v>16</v>
      </c>
      <c r="O36">
        <v>568</v>
      </c>
      <c r="P36">
        <v>306</v>
      </c>
      <c r="Q36">
        <v>22</v>
      </c>
      <c r="R36">
        <v>912</v>
      </c>
      <c r="U36" s="6" t="s">
        <v>2528</v>
      </c>
      <c r="V36">
        <v>11997</v>
      </c>
    </row>
    <row r="37" spans="7:39" x14ac:dyDescent="0.5">
      <c r="G37" s="6">
        <v>5</v>
      </c>
      <c r="H37">
        <v>5</v>
      </c>
      <c r="M37" s="6" t="s">
        <v>54</v>
      </c>
      <c r="N37">
        <v>22</v>
      </c>
      <c r="O37">
        <v>482</v>
      </c>
      <c r="P37">
        <v>295</v>
      </c>
      <c r="Q37">
        <v>8</v>
      </c>
      <c r="R37">
        <v>807</v>
      </c>
    </row>
    <row r="38" spans="7:39" x14ac:dyDescent="0.5">
      <c r="G38" s="6" t="s">
        <v>2534</v>
      </c>
      <c r="H38">
        <v>14</v>
      </c>
      <c r="M38" s="6" t="s">
        <v>16</v>
      </c>
      <c r="N38">
        <v>24</v>
      </c>
      <c r="O38">
        <v>428</v>
      </c>
      <c r="P38">
        <v>293</v>
      </c>
      <c r="R38">
        <v>745</v>
      </c>
    </row>
    <row r="39" spans="7:39" x14ac:dyDescent="0.5">
      <c r="G39" s="6" t="s">
        <v>2535</v>
      </c>
      <c r="H39">
        <v>5</v>
      </c>
      <c r="M39" s="6" t="s">
        <v>46</v>
      </c>
      <c r="N39">
        <v>39</v>
      </c>
      <c r="O39">
        <v>445</v>
      </c>
      <c r="P39">
        <v>202</v>
      </c>
      <c r="Q39">
        <v>14</v>
      </c>
      <c r="R39">
        <v>700</v>
      </c>
    </row>
    <row r="40" spans="7:39" x14ac:dyDescent="0.5">
      <c r="G40" s="6" t="s">
        <v>2528</v>
      </c>
      <c r="H40">
        <v>75</v>
      </c>
      <c r="M40" s="6" t="s">
        <v>32</v>
      </c>
      <c r="N40">
        <v>15</v>
      </c>
      <c r="O40">
        <v>431</v>
      </c>
      <c r="P40">
        <v>187</v>
      </c>
      <c r="Q40">
        <v>14</v>
      </c>
      <c r="R40">
        <v>647</v>
      </c>
      <c r="AA40" t="s">
        <v>2536</v>
      </c>
      <c r="AF40" t="s">
        <v>2537</v>
      </c>
      <c r="AJ40" t="s">
        <v>10</v>
      </c>
      <c r="AK40" t="s">
        <v>11</v>
      </c>
      <c r="AL40" t="s">
        <v>2520</v>
      </c>
      <c r="AM40" t="s">
        <v>2521</v>
      </c>
    </row>
    <row r="41" spans="7:39" x14ac:dyDescent="0.5">
      <c r="M41" s="6" t="s">
        <v>42</v>
      </c>
      <c r="N41">
        <v>9</v>
      </c>
      <c r="O41">
        <v>264</v>
      </c>
      <c r="P41">
        <v>318</v>
      </c>
      <c r="Q41">
        <v>15</v>
      </c>
      <c r="R41">
        <v>606</v>
      </c>
      <c r="V41" s="5" t="s">
        <v>10</v>
      </c>
      <c r="W41" s="5" t="s">
        <v>11</v>
      </c>
      <c r="X41" t="s">
        <v>2520</v>
      </c>
      <c r="Y41" t="s">
        <v>2521</v>
      </c>
      <c r="AA41" t="s">
        <v>10</v>
      </c>
      <c r="AB41" t="s">
        <v>11</v>
      </c>
      <c r="AC41" t="s">
        <v>2520</v>
      </c>
      <c r="AF41" t="s">
        <v>10</v>
      </c>
      <c r="AG41" t="s">
        <v>11</v>
      </c>
      <c r="AH41" t="s">
        <v>2521</v>
      </c>
      <c r="AJ41" t="s">
        <v>19</v>
      </c>
      <c r="AK41" t="s">
        <v>115</v>
      </c>
      <c r="AL41">
        <v>579</v>
      </c>
      <c r="AM41">
        <v>31884.999999999996</v>
      </c>
    </row>
    <row r="42" spans="7:39" x14ac:dyDescent="0.5">
      <c r="M42" s="6" t="s">
        <v>37</v>
      </c>
      <c r="N42">
        <v>23</v>
      </c>
      <c r="O42">
        <v>296</v>
      </c>
      <c r="P42">
        <v>275</v>
      </c>
      <c r="Q42">
        <v>9</v>
      </c>
      <c r="R42">
        <v>603</v>
      </c>
      <c r="V42" t="s">
        <v>19</v>
      </c>
      <c r="W42" t="s">
        <v>115</v>
      </c>
      <c r="X42">
        <v>21</v>
      </c>
      <c r="Y42">
        <v>1417.7</v>
      </c>
      <c r="AA42" t="str">
        <f>IF(V42="","",V42)</f>
        <v>California</v>
      </c>
      <c r="AB42" t="str">
        <f t="shared" ref="AB42:AC57" si="8">IF(W42="","",W42)</f>
        <v>Alameda County</v>
      </c>
      <c r="AC42">
        <f t="shared" si="8"/>
        <v>21</v>
      </c>
      <c r="AF42" t="str">
        <f>IF(V42="","",V42)</f>
        <v>California</v>
      </c>
      <c r="AG42" t="str">
        <f t="shared" ref="AG42:AG57" si="9">IF(W42="","",W42)</f>
        <v>Alameda County</v>
      </c>
      <c r="AH42">
        <f>IF(X42="","",Y42)</f>
        <v>1417.7</v>
      </c>
      <c r="AJ42" t="s">
        <v>19</v>
      </c>
      <c r="AK42" t="s">
        <v>20</v>
      </c>
      <c r="AL42">
        <v>1</v>
      </c>
      <c r="AM42">
        <v>10.9</v>
      </c>
    </row>
    <row r="43" spans="7:39" x14ac:dyDescent="0.5">
      <c r="M43" s="6" t="s">
        <v>123</v>
      </c>
      <c r="N43">
        <v>8</v>
      </c>
      <c r="O43">
        <v>153</v>
      </c>
      <c r="P43">
        <v>246</v>
      </c>
      <c r="Q43">
        <v>30</v>
      </c>
      <c r="R43">
        <v>437</v>
      </c>
      <c r="V43" t="s">
        <v>19</v>
      </c>
      <c r="W43" t="s">
        <v>641</v>
      </c>
      <c r="X43">
        <v>4</v>
      </c>
      <c r="Y43">
        <v>128.69999999999999</v>
      </c>
      <c r="AA43" t="str">
        <f t="shared" ref="AA43:AA99" si="10">IF(V43="","",V43)</f>
        <v>California</v>
      </c>
      <c r="AB43" t="str">
        <f t="shared" si="8"/>
        <v>Amador County</v>
      </c>
      <c r="AC43">
        <f t="shared" si="8"/>
        <v>4</v>
      </c>
      <c r="AF43" t="str">
        <f t="shared" ref="AF43:AG99" si="11">IF(V43="","",V43)</f>
        <v>California</v>
      </c>
      <c r="AG43" t="str">
        <f t="shared" si="9"/>
        <v>Amador County</v>
      </c>
      <c r="AH43">
        <f t="shared" ref="AH43:AH99" si="12">IF(X43="","",Y43)</f>
        <v>128.69999999999999</v>
      </c>
      <c r="AJ43" t="s">
        <v>19</v>
      </c>
      <c r="AK43" t="s">
        <v>641</v>
      </c>
      <c r="AL43">
        <v>9</v>
      </c>
      <c r="AM43">
        <v>800.3</v>
      </c>
    </row>
    <row r="44" spans="7:39" x14ac:dyDescent="0.5">
      <c r="M44" s="6" t="s">
        <v>146</v>
      </c>
      <c r="N44">
        <v>31</v>
      </c>
      <c r="O44">
        <v>189</v>
      </c>
      <c r="P44">
        <v>168</v>
      </c>
      <c r="Q44">
        <v>10</v>
      </c>
      <c r="R44">
        <v>398</v>
      </c>
      <c r="V44" t="s">
        <v>19</v>
      </c>
      <c r="W44" t="s">
        <v>24</v>
      </c>
      <c r="X44">
        <v>4</v>
      </c>
      <c r="Y44">
        <v>274.7</v>
      </c>
      <c r="AA44" t="str">
        <f t="shared" si="10"/>
        <v>California</v>
      </c>
      <c r="AB44" t="str">
        <f t="shared" si="8"/>
        <v>Contra Costa County</v>
      </c>
      <c r="AC44">
        <f t="shared" si="8"/>
        <v>4</v>
      </c>
      <c r="AF44" t="str">
        <f t="shared" si="11"/>
        <v>California</v>
      </c>
      <c r="AG44" t="str">
        <f t="shared" si="9"/>
        <v>Contra Costa County</v>
      </c>
      <c r="AH44">
        <f t="shared" si="12"/>
        <v>274.7</v>
      </c>
      <c r="AJ44" t="s">
        <v>19</v>
      </c>
      <c r="AK44" t="s">
        <v>967</v>
      </c>
      <c r="AL44">
        <v>35</v>
      </c>
      <c r="AM44">
        <v>1062.5999999999999</v>
      </c>
    </row>
    <row r="45" spans="7:39" x14ac:dyDescent="0.5">
      <c r="M45" s="6" t="s">
        <v>69</v>
      </c>
      <c r="N45">
        <v>24</v>
      </c>
      <c r="O45">
        <v>234</v>
      </c>
      <c r="P45">
        <v>93</v>
      </c>
      <c r="Q45">
        <v>19</v>
      </c>
      <c r="R45">
        <v>370</v>
      </c>
      <c r="V45" t="s">
        <v>19</v>
      </c>
      <c r="W45" t="s">
        <v>587</v>
      </c>
      <c r="X45">
        <v>6</v>
      </c>
      <c r="Y45">
        <v>441.59999999999997</v>
      </c>
      <c r="AA45" t="str">
        <f t="shared" si="10"/>
        <v>California</v>
      </c>
      <c r="AB45" t="str">
        <f t="shared" si="8"/>
        <v>Humboldt County</v>
      </c>
      <c r="AC45">
        <f t="shared" si="8"/>
        <v>6</v>
      </c>
      <c r="AF45" t="str">
        <f t="shared" si="11"/>
        <v>California</v>
      </c>
      <c r="AG45" t="str">
        <f t="shared" si="9"/>
        <v>Humboldt County</v>
      </c>
      <c r="AH45">
        <f t="shared" si="12"/>
        <v>441.59999999999997</v>
      </c>
      <c r="AJ45" t="s">
        <v>19</v>
      </c>
      <c r="AK45" t="s">
        <v>84</v>
      </c>
      <c r="AL45">
        <v>12</v>
      </c>
      <c r="AM45">
        <v>326.20000000000005</v>
      </c>
    </row>
    <row r="46" spans="7:39" x14ac:dyDescent="0.5">
      <c r="M46" s="6" t="s">
        <v>30</v>
      </c>
      <c r="N46">
        <v>28</v>
      </c>
      <c r="O46">
        <v>146</v>
      </c>
      <c r="P46">
        <v>94</v>
      </c>
      <c r="Q46">
        <v>4</v>
      </c>
      <c r="R46">
        <v>272</v>
      </c>
      <c r="V46" t="s">
        <v>19</v>
      </c>
      <c r="W46" t="s">
        <v>331</v>
      </c>
      <c r="X46">
        <v>8</v>
      </c>
      <c r="Y46">
        <v>341.4</v>
      </c>
      <c r="AA46" t="str">
        <f t="shared" si="10"/>
        <v>California</v>
      </c>
      <c r="AB46" t="str">
        <f t="shared" si="8"/>
        <v>Imperial County</v>
      </c>
      <c r="AC46">
        <f t="shared" si="8"/>
        <v>8</v>
      </c>
      <c r="AF46" t="str">
        <f t="shared" si="11"/>
        <v>California</v>
      </c>
      <c r="AG46" t="str">
        <f t="shared" si="9"/>
        <v>Imperial County</v>
      </c>
      <c r="AH46">
        <f t="shared" si="12"/>
        <v>341.4</v>
      </c>
      <c r="AJ46" t="s">
        <v>19</v>
      </c>
      <c r="AK46" t="s">
        <v>1383</v>
      </c>
      <c r="AL46">
        <v>4</v>
      </c>
      <c r="AM46">
        <v>167.5</v>
      </c>
    </row>
    <row r="47" spans="7:39" x14ac:dyDescent="0.5">
      <c r="M47" s="6" t="s">
        <v>135</v>
      </c>
      <c r="N47">
        <v>12</v>
      </c>
      <c r="O47">
        <v>127</v>
      </c>
      <c r="P47">
        <v>118</v>
      </c>
      <c r="Q47">
        <v>13</v>
      </c>
      <c r="R47">
        <v>270</v>
      </c>
      <c r="V47" t="s">
        <v>19</v>
      </c>
      <c r="W47" t="s">
        <v>147</v>
      </c>
      <c r="X47">
        <v>6</v>
      </c>
      <c r="Y47">
        <v>276.8</v>
      </c>
      <c r="AA47" t="str">
        <f t="shared" si="10"/>
        <v>California</v>
      </c>
      <c r="AB47" t="str">
        <f t="shared" si="8"/>
        <v>Kern County</v>
      </c>
      <c r="AC47">
        <f t="shared" si="8"/>
        <v>6</v>
      </c>
      <c r="AF47" t="str">
        <f t="shared" si="11"/>
        <v>California</v>
      </c>
      <c r="AG47" t="str">
        <f t="shared" si="9"/>
        <v>Kern County</v>
      </c>
      <c r="AH47">
        <f t="shared" si="12"/>
        <v>276.8</v>
      </c>
      <c r="AJ47" t="s">
        <v>19</v>
      </c>
      <c r="AK47" t="s">
        <v>24</v>
      </c>
      <c r="AL47">
        <v>341</v>
      </c>
      <c r="AM47">
        <v>16168.7</v>
      </c>
    </row>
    <row r="48" spans="7:39" x14ac:dyDescent="0.5">
      <c r="M48" s="6" t="s">
        <v>67</v>
      </c>
      <c r="O48">
        <v>179</v>
      </c>
      <c r="P48">
        <v>76</v>
      </c>
      <c r="Q48">
        <v>3</v>
      </c>
      <c r="R48">
        <v>258</v>
      </c>
      <c r="V48" t="s">
        <v>19</v>
      </c>
      <c r="W48" t="s">
        <v>949</v>
      </c>
      <c r="X48">
        <v>10</v>
      </c>
      <c r="Y48">
        <v>378</v>
      </c>
      <c r="AA48" t="str">
        <f t="shared" si="10"/>
        <v>California</v>
      </c>
      <c r="AB48" t="str">
        <f t="shared" si="8"/>
        <v>Lake County</v>
      </c>
      <c r="AC48">
        <f t="shared" si="8"/>
        <v>10</v>
      </c>
      <c r="AF48" t="str">
        <f t="shared" si="11"/>
        <v>California</v>
      </c>
      <c r="AG48" t="str">
        <f t="shared" si="9"/>
        <v>Lake County</v>
      </c>
      <c r="AH48">
        <f t="shared" si="12"/>
        <v>378</v>
      </c>
      <c r="AJ48" t="s">
        <v>19</v>
      </c>
      <c r="AK48" t="s">
        <v>2204</v>
      </c>
      <c r="AL48">
        <v>13</v>
      </c>
      <c r="AM48">
        <v>322.40000000000003</v>
      </c>
    </row>
    <row r="49" spans="3:39" x14ac:dyDescent="0.5">
      <c r="M49" s="6" t="s">
        <v>128</v>
      </c>
      <c r="N49">
        <v>24</v>
      </c>
      <c r="O49">
        <v>99</v>
      </c>
      <c r="P49">
        <v>69</v>
      </c>
      <c r="Q49">
        <v>3</v>
      </c>
      <c r="R49">
        <v>195</v>
      </c>
      <c r="V49" t="s">
        <v>19</v>
      </c>
      <c r="W49" t="s">
        <v>33</v>
      </c>
      <c r="X49">
        <v>99</v>
      </c>
      <c r="Y49">
        <v>5679</v>
      </c>
      <c r="AA49" t="str">
        <f t="shared" si="10"/>
        <v>California</v>
      </c>
      <c r="AB49" t="str">
        <f t="shared" si="8"/>
        <v>Los Angeles County</v>
      </c>
      <c r="AC49">
        <f t="shared" si="8"/>
        <v>99</v>
      </c>
      <c r="AF49" t="str">
        <f t="shared" si="11"/>
        <v>California</v>
      </c>
      <c r="AG49" t="str">
        <f t="shared" si="9"/>
        <v>Los Angeles County</v>
      </c>
      <c r="AH49">
        <f t="shared" si="12"/>
        <v>5679</v>
      </c>
      <c r="AJ49" t="s">
        <v>19</v>
      </c>
      <c r="AK49" t="s">
        <v>437</v>
      </c>
      <c r="AL49">
        <v>31</v>
      </c>
      <c r="AM49">
        <v>2092.8000000000002</v>
      </c>
    </row>
    <row r="50" spans="3:39" x14ac:dyDescent="0.5">
      <c r="M50" s="6" t="s">
        <v>76</v>
      </c>
      <c r="N50">
        <v>6</v>
      </c>
      <c r="O50">
        <v>75</v>
      </c>
      <c r="P50">
        <v>103</v>
      </c>
      <c r="Q50">
        <v>4</v>
      </c>
      <c r="R50">
        <v>188</v>
      </c>
      <c r="V50" t="s">
        <v>19</v>
      </c>
      <c r="W50" t="s">
        <v>186</v>
      </c>
      <c r="X50">
        <v>4</v>
      </c>
      <c r="Y50">
        <v>254.4</v>
      </c>
      <c r="AA50" t="str">
        <f t="shared" si="10"/>
        <v>California</v>
      </c>
      <c r="AB50" t="str">
        <f t="shared" si="8"/>
        <v>Merced County</v>
      </c>
      <c r="AC50">
        <f t="shared" si="8"/>
        <v>4</v>
      </c>
      <c r="AF50" t="str">
        <f t="shared" si="11"/>
        <v>California</v>
      </c>
      <c r="AG50" t="str">
        <f t="shared" si="9"/>
        <v>Merced County</v>
      </c>
      <c r="AH50">
        <f t="shared" si="12"/>
        <v>254.4</v>
      </c>
      <c r="AJ50" t="s">
        <v>19</v>
      </c>
      <c r="AK50" t="s">
        <v>28</v>
      </c>
      <c r="AL50">
        <v>279</v>
      </c>
      <c r="AM50">
        <v>12662.500000000002</v>
      </c>
    </row>
    <row r="51" spans="3:39" x14ac:dyDescent="0.5">
      <c r="M51" s="6" t="s">
        <v>81</v>
      </c>
      <c r="N51">
        <v>6</v>
      </c>
      <c r="O51">
        <v>43</v>
      </c>
      <c r="P51">
        <v>90</v>
      </c>
      <c r="Q51">
        <v>8</v>
      </c>
      <c r="R51">
        <v>147</v>
      </c>
      <c r="V51" t="s">
        <v>19</v>
      </c>
      <c r="W51" t="s">
        <v>52</v>
      </c>
      <c r="X51">
        <v>9</v>
      </c>
      <c r="Y51">
        <v>741.6</v>
      </c>
      <c r="AA51" t="str">
        <f t="shared" si="10"/>
        <v>California</v>
      </c>
      <c r="AB51" t="str">
        <f t="shared" si="8"/>
        <v>Placer County</v>
      </c>
      <c r="AC51">
        <f t="shared" si="8"/>
        <v>9</v>
      </c>
      <c r="AF51" t="str">
        <f t="shared" si="11"/>
        <v>California</v>
      </c>
      <c r="AG51" t="str">
        <f t="shared" si="9"/>
        <v>Placer County</v>
      </c>
      <c r="AH51">
        <f t="shared" si="12"/>
        <v>741.6</v>
      </c>
      <c r="AJ51" t="s">
        <v>19</v>
      </c>
      <c r="AK51" t="s">
        <v>208</v>
      </c>
      <c r="AL51">
        <v>9</v>
      </c>
      <c r="AM51">
        <v>343.2</v>
      </c>
    </row>
    <row r="52" spans="3:39" x14ac:dyDescent="0.5">
      <c r="M52" s="6" t="s">
        <v>171</v>
      </c>
      <c r="O52">
        <v>26</v>
      </c>
      <c r="P52">
        <v>35</v>
      </c>
      <c r="Q52">
        <v>4</v>
      </c>
      <c r="R52">
        <v>65</v>
      </c>
      <c r="V52" t="s">
        <v>19</v>
      </c>
      <c r="W52" t="s">
        <v>55</v>
      </c>
      <c r="X52">
        <v>23</v>
      </c>
      <c r="Y52">
        <v>1107.3</v>
      </c>
      <c r="AA52" t="str">
        <f t="shared" si="10"/>
        <v>California</v>
      </c>
      <c r="AB52" t="str">
        <f t="shared" si="8"/>
        <v>Sacramento County</v>
      </c>
      <c r="AC52">
        <f t="shared" si="8"/>
        <v>23</v>
      </c>
      <c r="AF52" t="str">
        <f t="shared" si="11"/>
        <v>California</v>
      </c>
      <c r="AG52" t="str">
        <f t="shared" si="9"/>
        <v>Sacramento County</v>
      </c>
      <c r="AH52">
        <f t="shared" si="12"/>
        <v>1107.3</v>
      </c>
      <c r="AJ52" t="s">
        <v>19</v>
      </c>
      <c r="AK52" t="s">
        <v>587</v>
      </c>
      <c r="AL52">
        <v>49</v>
      </c>
      <c r="AM52">
        <v>2188.2999999999997</v>
      </c>
    </row>
    <row r="53" spans="3:39" x14ac:dyDescent="0.5">
      <c r="M53" s="6" t="s">
        <v>2528</v>
      </c>
      <c r="N53">
        <v>736</v>
      </c>
      <c r="O53">
        <v>6272</v>
      </c>
      <c r="P53">
        <v>4672</v>
      </c>
      <c r="Q53">
        <v>317</v>
      </c>
      <c r="R53">
        <v>11997</v>
      </c>
      <c r="V53" t="s">
        <v>19</v>
      </c>
      <c r="W53" t="s">
        <v>59</v>
      </c>
      <c r="X53">
        <v>15</v>
      </c>
      <c r="Y53">
        <v>654.5</v>
      </c>
      <c r="AA53" t="str">
        <f t="shared" si="10"/>
        <v>California</v>
      </c>
      <c r="AB53" t="str">
        <f t="shared" si="8"/>
        <v>San Bernardino County</v>
      </c>
      <c r="AC53">
        <f t="shared" si="8"/>
        <v>15</v>
      </c>
      <c r="AF53" t="str">
        <f t="shared" si="11"/>
        <v>California</v>
      </c>
      <c r="AG53" t="str">
        <f t="shared" si="9"/>
        <v>San Bernardino County</v>
      </c>
      <c r="AH53">
        <f t="shared" si="12"/>
        <v>654.5</v>
      </c>
      <c r="AJ53" t="s">
        <v>19</v>
      </c>
      <c r="AK53" t="s">
        <v>331</v>
      </c>
      <c r="AL53">
        <v>59</v>
      </c>
      <c r="AM53">
        <v>2661.5999999999995</v>
      </c>
    </row>
    <row r="54" spans="3:39" x14ac:dyDescent="0.5">
      <c r="V54" t="s">
        <v>19</v>
      </c>
      <c r="W54" t="s">
        <v>62</v>
      </c>
      <c r="X54">
        <v>21</v>
      </c>
      <c r="Y54">
        <v>1653.6</v>
      </c>
      <c r="AA54" t="str">
        <f t="shared" si="10"/>
        <v>California</v>
      </c>
      <c r="AB54" t="str">
        <f t="shared" si="8"/>
        <v>San Diego County</v>
      </c>
      <c r="AC54">
        <f t="shared" si="8"/>
        <v>21</v>
      </c>
      <c r="AF54" t="str">
        <f t="shared" si="11"/>
        <v>California</v>
      </c>
      <c r="AG54" t="str">
        <f t="shared" si="9"/>
        <v>San Diego County</v>
      </c>
      <c r="AH54">
        <f t="shared" si="12"/>
        <v>1653.6</v>
      </c>
      <c r="AJ54" t="s">
        <v>19</v>
      </c>
      <c r="AK54" t="s">
        <v>86</v>
      </c>
      <c r="AL54">
        <v>8</v>
      </c>
      <c r="AM54">
        <v>887.5</v>
      </c>
    </row>
    <row r="55" spans="3:39" x14ac:dyDescent="0.5">
      <c r="V55" t="s">
        <v>19</v>
      </c>
      <c r="W55" t="s">
        <v>103</v>
      </c>
      <c r="X55">
        <v>1</v>
      </c>
      <c r="Y55">
        <v>76</v>
      </c>
      <c r="AA55" t="str">
        <f t="shared" si="10"/>
        <v>California</v>
      </c>
      <c r="AB55" t="str">
        <f t="shared" si="8"/>
        <v>San Francisco</v>
      </c>
      <c r="AC55">
        <f t="shared" si="8"/>
        <v>1</v>
      </c>
      <c r="AF55" t="str">
        <f t="shared" si="11"/>
        <v>California</v>
      </c>
      <c r="AG55" t="str">
        <f t="shared" si="9"/>
        <v>San Francisco</v>
      </c>
      <c r="AH55">
        <f t="shared" si="12"/>
        <v>76</v>
      </c>
      <c r="AJ55" t="s">
        <v>19</v>
      </c>
      <c r="AK55" t="s">
        <v>147</v>
      </c>
      <c r="AL55">
        <v>222</v>
      </c>
      <c r="AM55">
        <v>11354.199999999993</v>
      </c>
    </row>
    <row r="56" spans="3:39" x14ac:dyDescent="0.5">
      <c r="C56" s="5" t="s">
        <v>2527</v>
      </c>
      <c r="D56" t="s">
        <v>2519</v>
      </c>
      <c r="V56" t="s">
        <v>19</v>
      </c>
      <c r="W56" t="s">
        <v>201</v>
      </c>
      <c r="X56">
        <v>15</v>
      </c>
      <c r="Y56">
        <v>288</v>
      </c>
      <c r="AA56" t="str">
        <f t="shared" si="10"/>
        <v>California</v>
      </c>
      <c r="AB56" t="str">
        <f t="shared" si="8"/>
        <v>San Joaquin County</v>
      </c>
      <c r="AC56">
        <f t="shared" si="8"/>
        <v>15</v>
      </c>
      <c r="AF56" t="str">
        <f t="shared" si="11"/>
        <v>California</v>
      </c>
      <c r="AG56" t="str">
        <f t="shared" si="9"/>
        <v>San Joaquin County</v>
      </c>
      <c r="AH56">
        <f t="shared" si="12"/>
        <v>288</v>
      </c>
      <c r="AJ56" t="s">
        <v>19</v>
      </c>
      <c r="AK56" t="s">
        <v>334</v>
      </c>
      <c r="AL56">
        <v>36</v>
      </c>
      <c r="AM56">
        <v>1558.4</v>
      </c>
    </row>
    <row r="57" spans="3:39" x14ac:dyDescent="0.5">
      <c r="C57" s="6">
        <v>0</v>
      </c>
      <c r="D57">
        <v>4</v>
      </c>
      <c r="V57" t="s">
        <v>19</v>
      </c>
      <c r="W57" t="s">
        <v>72</v>
      </c>
      <c r="X57">
        <v>10</v>
      </c>
      <c r="Y57">
        <v>320.7</v>
      </c>
      <c r="AA57" t="str">
        <f t="shared" si="10"/>
        <v>California</v>
      </c>
      <c r="AB57" t="str">
        <f t="shared" si="8"/>
        <v>San Mateo County</v>
      </c>
      <c r="AC57">
        <f t="shared" si="8"/>
        <v>10</v>
      </c>
      <c r="AF57" t="str">
        <f t="shared" si="11"/>
        <v>California</v>
      </c>
      <c r="AG57" t="str">
        <f t="shared" si="9"/>
        <v>San Mateo County</v>
      </c>
      <c r="AH57">
        <f t="shared" si="12"/>
        <v>320.7</v>
      </c>
      <c r="AJ57" t="s">
        <v>19</v>
      </c>
      <c r="AK57" t="s">
        <v>949</v>
      </c>
      <c r="AL57">
        <v>30</v>
      </c>
      <c r="AM57">
        <v>2223.9</v>
      </c>
    </row>
    <row r="58" spans="3:39" x14ac:dyDescent="0.5">
      <c r="C58" s="6">
        <v>1</v>
      </c>
      <c r="D58">
        <v>29</v>
      </c>
      <c r="V58" t="s">
        <v>19</v>
      </c>
      <c r="W58" t="s">
        <v>74</v>
      </c>
      <c r="X58">
        <v>8</v>
      </c>
      <c r="Y58">
        <v>897.4</v>
      </c>
      <c r="AA58" t="str">
        <f t="shared" si="10"/>
        <v>California</v>
      </c>
      <c r="AB58" t="str">
        <f t="shared" ref="AB58:AB99" si="13">IF(W58="","",W58)</f>
        <v>Santa Barbara County</v>
      </c>
      <c r="AC58">
        <f t="shared" ref="AC58:AC99" si="14">IF(X58="","",X58)</f>
        <v>8</v>
      </c>
      <c r="AF58" t="str">
        <f t="shared" si="11"/>
        <v>California</v>
      </c>
      <c r="AG58" t="str">
        <f t="shared" si="11"/>
        <v>Santa Barbara County</v>
      </c>
      <c r="AH58">
        <f t="shared" si="12"/>
        <v>897.4</v>
      </c>
      <c r="AJ58" t="s">
        <v>19</v>
      </c>
      <c r="AK58" t="s">
        <v>1426</v>
      </c>
      <c r="AL58">
        <v>1</v>
      </c>
      <c r="AM58">
        <v>26.2</v>
      </c>
    </row>
    <row r="59" spans="3:39" x14ac:dyDescent="0.5">
      <c r="C59" s="6">
        <v>2</v>
      </c>
      <c r="D59">
        <v>21</v>
      </c>
      <c r="V59" t="s">
        <v>19</v>
      </c>
      <c r="W59" t="s">
        <v>77</v>
      </c>
      <c r="X59">
        <v>11</v>
      </c>
      <c r="Y59">
        <v>351.9</v>
      </c>
      <c r="AA59" t="str">
        <f t="shared" si="10"/>
        <v>California</v>
      </c>
      <c r="AB59" t="str">
        <f t="shared" si="13"/>
        <v>Santa Clara County</v>
      </c>
      <c r="AC59">
        <f t="shared" si="14"/>
        <v>11</v>
      </c>
      <c r="AF59" t="str">
        <f t="shared" si="11"/>
        <v>California</v>
      </c>
      <c r="AG59" t="str">
        <f t="shared" si="11"/>
        <v>Santa Clara County</v>
      </c>
      <c r="AH59">
        <f t="shared" si="12"/>
        <v>351.9</v>
      </c>
      <c r="AJ59" t="s">
        <v>19</v>
      </c>
      <c r="AK59" t="s">
        <v>33</v>
      </c>
      <c r="AL59">
        <v>3991</v>
      </c>
      <c r="AM59">
        <v>215551.19999999981</v>
      </c>
    </row>
    <row r="60" spans="3:39" x14ac:dyDescent="0.5">
      <c r="C60" s="6">
        <v>3</v>
      </c>
      <c r="D60">
        <v>10</v>
      </c>
      <c r="H60" s="5" t="s">
        <v>2519</v>
      </c>
      <c r="I60" s="5" t="s">
        <v>2533</v>
      </c>
      <c r="V60" t="s">
        <v>19</v>
      </c>
      <c r="W60" t="s">
        <v>108</v>
      </c>
      <c r="X60">
        <v>10</v>
      </c>
      <c r="Y60">
        <v>554.29999999999995</v>
      </c>
      <c r="AA60" t="str">
        <f t="shared" si="10"/>
        <v>California</v>
      </c>
      <c r="AB60" t="str">
        <f t="shared" si="13"/>
        <v>Sonoma County</v>
      </c>
      <c r="AC60">
        <f t="shared" si="14"/>
        <v>10</v>
      </c>
      <c r="AF60" t="str">
        <f t="shared" si="11"/>
        <v>California</v>
      </c>
      <c r="AG60" t="str">
        <f t="shared" si="11"/>
        <v>Sonoma County</v>
      </c>
      <c r="AH60">
        <f t="shared" si="12"/>
        <v>554.29999999999995</v>
      </c>
      <c r="AJ60" t="s">
        <v>19</v>
      </c>
      <c r="AK60" t="s">
        <v>364</v>
      </c>
      <c r="AL60">
        <v>45</v>
      </c>
      <c r="AM60">
        <v>2687.3999999999996</v>
      </c>
    </row>
    <row r="61" spans="3:39" x14ac:dyDescent="0.5">
      <c r="C61" s="6">
        <v>4</v>
      </c>
      <c r="D61">
        <v>4</v>
      </c>
      <c r="H61" s="5" t="s">
        <v>2527</v>
      </c>
      <c r="I61">
        <v>1</v>
      </c>
      <c r="J61">
        <v>2</v>
      </c>
      <c r="K61">
        <v>3</v>
      </c>
      <c r="L61">
        <v>4</v>
      </c>
      <c r="M61">
        <v>5</v>
      </c>
      <c r="N61" t="s">
        <v>2528</v>
      </c>
      <c r="V61" t="s">
        <v>19</v>
      </c>
      <c r="W61" t="s">
        <v>110</v>
      </c>
      <c r="X61">
        <v>5</v>
      </c>
      <c r="Y61">
        <v>404</v>
      </c>
      <c r="AA61" t="str">
        <f t="shared" si="10"/>
        <v>California</v>
      </c>
      <c r="AB61" t="str">
        <f t="shared" si="13"/>
        <v>Stanislaus County</v>
      </c>
      <c r="AC61">
        <f t="shared" si="14"/>
        <v>5</v>
      </c>
      <c r="AF61" t="str">
        <f t="shared" si="11"/>
        <v>California</v>
      </c>
      <c r="AG61" t="str">
        <f t="shared" si="11"/>
        <v>Stanislaus County</v>
      </c>
      <c r="AH61">
        <f t="shared" si="12"/>
        <v>404</v>
      </c>
      <c r="AJ61" t="s">
        <v>19</v>
      </c>
      <c r="AK61" t="s">
        <v>545</v>
      </c>
      <c r="AL61">
        <v>39</v>
      </c>
      <c r="AM61">
        <v>1463.3000000000002</v>
      </c>
    </row>
    <row r="62" spans="3:39" x14ac:dyDescent="0.5">
      <c r="C62" s="6">
        <v>5</v>
      </c>
      <c r="D62">
        <v>2</v>
      </c>
      <c r="H62" s="6" t="s">
        <v>2538</v>
      </c>
      <c r="I62">
        <v>1</v>
      </c>
      <c r="J62">
        <v>2</v>
      </c>
      <c r="K62">
        <v>4</v>
      </c>
      <c r="L62">
        <v>6</v>
      </c>
      <c r="M62">
        <v>5</v>
      </c>
      <c r="N62">
        <v>18</v>
      </c>
      <c r="V62" t="s">
        <v>19</v>
      </c>
      <c r="W62" t="s">
        <v>292</v>
      </c>
      <c r="X62">
        <v>8</v>
      </c>
      <c r="Y62">
        <v>442.90000000000003</v>
      </c>
      <c r="AA62" t="str">
        <f t="shared" si="10"/>
        <v>California</v>
      </c>
      <c r="AB62" t="str">
        <f t="shared" si="13"/>
        <v>Sutter County</v>
      </c>
      <c r="AC62">
        <f t="shared" si="14"/>
        <v>8</v>
      </c>
      <c r="AF62" t="str">
        <f t="shared" si="11"/>
        <v>California</v>
      </c>
      <c r="AG62" t="str">
        <f t="shared" si="11"/>
        <v>Sutter County</v>
      </c>
      <c r="AH62">
        <f t="shared" si="12"/>
        <v>442.90000000000003</v>
      </c>
      <c r="AJ62" t="s">
        <v>19</v>
      </c>
      <c r="AK62" t="s">
        <v>416</v>
      </c>
      <c r="AL62">
        <v>6</v>
      </c>
      <c r="AM62">
        <v>445.79999999999995</v>
      </c>
    </row>
    <row r="63" spans="3:39" x14ac:dyDescent="0.5">
      <c r="C63" s="6">
        <v>6</v>
      </c>
      <c r="D63">
        <v>1</v>
      </c>
      <c r="H63" s="6" t="s">
        <v>2539</v>
      </c>
      <c r="J63">
        <v>1</v>
      </c>
      <c r="K63">
        <v>7</v>
      </c>
      <c r="L63">
        <v>10</v>
      </c>
      <c r="M63">
        <v>6</v>
      </c>
      <c r="N63">
        <v>24</v>
      </c>
      <c r="V63" t="s">
        <v>19</v>
      </c>
      <c r="W63" t="s">
        <v>113</v>
      </c>
      <c r="X63">
        <v>19</v>
      </c>
      <c r="Y63">
        <v>349.59999999999997</v>
      </c>
      <c r="AA63" t="str">
        <f t="shared" si="10"/>
        <v>California</v>
      </c>
      <c r="AB63" t="str">
        <f t="shared" si="13"/>
        <v>Tulare County</v>
      </c>
      <c r="AC63">
        <f t="shared" si="14"/>
        <v>19</v>
      </c>
      <c r="AF63" t="str">
        <f t="shared" si="11"/>
        <v>California</v>
      </c>
      <c r="AG63" t="str">
        <f t="shared" si="11"/>
        <v>Tulare County</v>
      </c>
      <c r="AH63">
        <f t="shared" si="12"/>
        <v>349.59999999999997</v>
      </c>
      <c r="AJ63" t="s">
        <v>19</v>
      </c>
      <c r="AK63" t="s">
        <v>258</v>
      </c>
      <c r="AL63">
        <v>9</v>
      </c>
      <c r="AM63">
        <v>273.59999999999997</v>
      </c>
    </row>
    <row r="64" spans="3:39" x14ac:dyDescent="0.5">
      <c r="C64" s="6">
        <v>8</v>
      </c>
      <c r="D64">
        <v>2</v>
      </c>
      <c r="H64" s="6" t="s">
        <v>2540</v>
      </c>
      <c r="J64">
        <v>2</v>
      </c>
      <c r="K64">
        <v>10</v>
      </c>
      <c r="L64">
        <v>12</v>
      </c>
      <c r="M64">
        <v>9</v>
      </c>
      <c r="N64">
        <v>33</v>
      </c>
      <c r="AA64" t="str">
        <f t="shared" si="10"/>
        <v/>
      </c>
      <c r="AB64" t="str">
        <f t="shared" si="13"/>
        <v/>
      </c>
      <c r="AC64" t="str">
        <f t="shared" si="14"/>
        <v/>
      </c>
      <c r="AF64" t="str">
        <f t="shared" si="11"/>
        <v/>
      </c>
      <c r="AG64" t="str">
        <f t="shared" si="11"/>
        <v/>
      </c>
      <c r="AH64" t="str">
        <f t="shared" si="12"/>
        <v/>
      </c>
      <c r="AJ64" t="s">
        <v>19</v>
      </c>
      <c r="AK64" t="s">
        <v>186</v>
      </c>
      <c r="AL64">
        <v>60</v>
      </c>
      <c r="AM64">
        <v>2690.4</v>
      </c>
    </row>
    <row r="65" spans="3:39" x14ac:dyDescent="0.5">
      <c r="C65" s="6">
        <v>9</v>
      </c>
      <c r="D65">
        <v>1</v>
      </c>
      <c r="H65" s="6" t="s">
        <v>2528</v>
      </c>
      <c r="I65">
        <v>1</v>
      </c>
      <c r="J65">
        <v>5</v>
      </c>
      <c r="K65">
        <v>21</v>
      </c>
      <c r="L65">
        <v>28</v>
      </c>
      <c r="M65">
        <v>20</v>
      </c>
      <c r="N65">
        <v>75</v>
      </c>
      <c r="AA65" t="str">
        <f t="shared" si="10"/>
        <v/>
      </c>
      <c r="AB65" t="str">
        <f t="shared" si="13"/>
        <v/>
      </c>
      <c r="AC65" t="str">
        <f t="shared" si="14"/>
        <v/>
      </c>
      <c r="AF65" t="str">
        <f t="shared" si="11"/>
        <v/>
      </c>
      <c r="AG65" t="str">
        <f t="shared" si="11"/>
        <v/>
      </c>
      <c r="AH65" t="str">
        <f t="shared" si="12"/>
        <v/>
      </c>
      <c r="AJ65" t="s">
        <v>19</v>
      </c>
      <c r="AK65" t="s">
        <v>392</v>
      </c>
      <c r="AL65">
        <v>2</v>
      </c>
      <c r="AM65">
        <v>28.4</v>
      </c>
    </row>
    <row r="66" spans="3:39" x14ac:dyDescent="0.5">
      <c r="C66" s="6">
        <v>14</v>
      </c>
      <c r="D66">
        <v>1</v>
      </c>
      <c r="AA66" t="str">
        <f t="shared" si="10"/>
        <v/>
      </c>
      <c r="AB66" t="str">
        <f t="shared" si="13"/>
        <v/>
      </c>
      <c r="AC66" t="str">
        <f t="shared" si="14"/>
        <v/>
      </c>
      <c r="AF66" t="str">
        <f t="shared" si="11"/>
        <v/>
      </c>
      <c r="AG66" t="str">
        <f t="shared" si="11"/>
        <v/>
      </c>
      <c r="AH66" t="str">
        <f t="shared" si="12"/>
        <v/>
      </c>
      <c r="AJ66" t="s">
        <v>19</v>
      </c>
      <c r="AK66" t="s">
        <v>670</v>
      </c>
      <c r="AL66">
        <v>4</v>
      </c>
      <c r="AM66">
        <v>204.8</v>
      </c>
    </row>
    <row r="67" spans="3:39" x14ac:dyDescent="0.5">
      <c r="C67" s="6" t="s">
        <v>2528</v>
      </c>
      <c r="D67">
        <v>75</v>
      </c>
      <c r="AA67" t="str">
        <f t="shared" si="10"/>
        <v/>
      </c>
      <c r="AB67" t="str">
        <f t="shared" si="13"/>
        <v/>
      </c>
      <c r="AC67" t="str">
        <f t="shared" si="14"/>
        <v/>
      </c>
      <c r="AF67" t="str">
        <f t="shared" si="11"/>
        <v/>
      </c>
      <c r="AG67" t="str">
        <f t="shared" si="11"/>
        <v/>
      </c>
      <c r="AH67" t="str">
        <f t="shared" si="12"/>
        <v/>
      </c>
      <c r="AJ67" t="s">
        <v>19</v>
      </c>
      <c r="AK67" t="s">
        <v>802</v>
      </c>
      <c r="AL67">
        <v>31</v>
      </c>
      <c r="AM67">
        <v>1607.8999999999999</v>
      </c>
    </row>
    <row r="68" spans="3:39" x14ac:dyDescent="0.5">
      <c r="AA68" t="str">
        <f t="shared" si="10"/>
        <v/>
      </c>
      <c r="AB68" t="str">
        <f t="shared" si="13"/>
        <v/>
      </c>
      <c r="AC68" t="str">
        <f t="shared" si="14"/>
        <v/>
      </c>
      <c r="AF68" t="str">
        <f t="shared" si="11"/>
        <v/>
      </c>
      <c r="AG68" t="str">
        <f t="shared" si="11"/>
        <v/>
      </c>
      <c r="AH68" t="str">
        <f t="shared" si="12"/>
        <v/>
      </c>
      <c r="AJ68" t="s">
        <v>19</v>
      </c>
      <c r="AK68" t="s">
        <v>98</v>
      </c>
      <c r="AL68">
        <v>88</v>
      </c>
      <c r="AM68">
        <v>6444.9</v>
      </c>
    </row>
    <row r="69" spans="3:39" x14ac:dyDescent="0.5">
      <c r="AA69" t="str">
        <f t="shared" si="10"/>
        <v/>
      </c>
      <c r="AB69" t="str">
        <f t="shared" si="13"/>
        <v/>
      </c>
      <c r="AC69" t="str">
        <f t="shared" si="14"/>
        <v/>
      </c>
      <c r="AF69" t="str">
        <f t="shared" si="11"/>
        <v/>
      </c>
      <c r="AG69" t="str">
        <f t="shared" si="11"/>
        <v/>
      </c>
      <c r="AH69" t="str">
        <f t="shared" si="12"/>
        <v/>
      </c>
      <c r="AJ69" t="s">
        <v>19</v>
      </c>
      <c r="AK69" t="s">
        <v>49</v>
      </c>
      <c r="AL69">
        <v>25</v>
      </c>
      <c r="AM69">
        <v>1809.3</v>
      </c>
    </row>
    <row r="70" spans="3:39" x14ac:dyDescent="0.5">
      <c r="AA70" t="str">
        <f t="shared" si="10"/>
        <v/>
      </c>
      <c r="AB70" t="str">
        <f t="shared" si="13"/>
        <v/>
      </c>
      <c r="AC70" t="str">
        <f t="shared" si="14"/>
        <v/>
      </c>
      <c r="AF70" t="str">
        <f t="shared" si="11"/>
        <v/>
      </c>
      <c r="AG70" t="str">
        <f t="shared" si="11"/>
        <v/>
      </c>
      <c r="AH70" t="str">
        <f t="shared" si="12"/>
        <v/>
      </c>
      <c r="AJ70" t="s">
        <v>19</v>
      </c>
      <c r="AK70" t="s">
        <v>188</v>
      </c>
      <c r="AL70">
        <v>178</v>
      </c>
      <c r="AM70">
        <v>9680.399999999996</v>
      </c>
    </row>
    <row r="71" spans="3:39" x14ac:dyDescent="0.5">
      <c r="AA71" t="str">
        <f t="shared" si="10"/>
        <v/>
      </c>
      <c r="AB71" t="str">
        <f t="shared" si="13"/>
        <v/>
      </c>
      <c r="AC71" t="str">
        <f t="shared" si="14"/>
        <v/>
      </c>
      <c r="AF71" t="str">
        <f t="shared" si="11"/>
        <v/>
      </c>
      <c r="AG71" t="str">
        <f t="shared" si="11"/>
        <v/>
      </c>
      <c r="AH71" t="str">
        <f t="shared" si="12"/>
        <v/>
      </c>
      <c r="AJ71" t="s">
        <v>19</v>
      </c>
      <c r="AK71" t="s">
        <v>52</v>
      </c>
      <c r="AL71">
        <v>141</v>
      </c>
      <c r="AM71">
        <v>9414.7999999999993</v>
      </c>
    </row>
    <row r="72" spans="3:39" x14ac:dyDescent="0.5">
      <c r="AA72" t="str">
        <f t="shared" si="10"/>
        <v/>
      </c>
      <c r="AB72" t="str">
        <f t="shared" si="13"/>
        <v/>
      </c>
      <c r="AC72" t="str">
        <f t="shared" si="14"/>
        <v/>
      </c>
      <c r="AF72" t="str">
        <f t="shared" si="11"/>
        <v/>
      </c>
      <c r="AG72" t="str">
        <f t="shared" si="11"/>
        <v/>
      </c>
      <c r="AH72" t="str">
        <f t="shared" si="12"/>
        <v/>
      </c>
      <c r="AJ72" t="s">
        <v>19</v>
      </c>
      <c r="AK72" t="s">
        <v>338</v>
      </c>
      <c r="AL72">
        <v>6</v>
      </c>
      <c r="AM72">
        <v>206.1</v>
      </c>
    </row>
    <row r="73" spans="3:39" x14ac:dyDescent="0.5">
      <c r="AA73" t="str">
        <f t="shared" si="10"/>
        <v/>
      </c>
      <c r="AB73" t="str">
        <f t="shared" si="13"/>
        <v/>
      </c>
      <c r="AC73" t="str">
        <f t="shared" si="14"/>
        <v/>
      </c>
      <c r="AF73" t="str">
        <f t="shared" si="11"/>
        <v/>
      </c>
      <c r="AG73" t="str">
        <f t="shared" si="11"/>
        <v/>
      </c>
      <c r="AH73" t="str">
        <f t="shared" si="12"/>
        <v/>
      </c>
      <c r="AJ73" t="s">
        <v>19</v>
      </c>
      <c r="AK73" t="s">
        <v>158</v>
      </c>
      <c r="AL73">
        <v>178</v>
      </c>
      <c r="AM73">
        <v>7691.3</v>
      </c>
    </row>
    <row r="74" spans="3:39" x14ac:dyDescent="0.5">
      <c r="AA74" t="str">
        <f t="shared" si="10"/>
        <v/>
      </c>
      <c r="AB74" t="str">
        <f t="shared" si="13"/>
        <v/>
      </c>
      <c r="AC74" t="str">
        <f t="shared" si="14"/>
        <v/>
      </c>
      <c r="AF74" t="str">
        <f t="shared" si="11"/>
        <v/>
      </c>
      <c r="AG74" t="str">
        <f t="shared" si="11"/>
        <v/>
      </c>
      <c r="AH74" t="str">
        <f t="shared" si="12"/>
        <v/>
      </c>
      <c r="AJ74" t="s">
        <v>19</v>
      </c>
      <c r="AK74" t="s">
        <v>55</v>
      </c>
      <c r="AL74">
        <v>699</v>
      </c>
      <c r="AM74">
        <v>37784.900000000016</v>
      </c>
    </row>
    <row r="75" spans="3:39" x14ac:dyDescent="0.5">
      <c r="AA75" t="str">
        <f t="shared" si="10"/>
        <v/>
      </c>
      <c r="AB75" t="str">
        <f t="shared" si="13"/>
        <v/>
      </c>
      <c r="AC75" t="str">
        <f t="shared" si="14"/>
        <v/>
      </c>
      <c r="AF75" t="str">
        <f t="shared" si="11"/>
        <v/>
      </c>
      <c r="AG75" t="str">
        <f t="shared" si="11"/>
        <v/>
      </c>
      <c r="AH75" t="str">
        <f t="shared" si="12"/>
        <v/>
      </c>
      <c r="AJ75" t="s">
        <v>19</v>
      </c>
      <c r="AK75" t="s">
        <v>342</v>
      </c>
      <c r="AL75">
        <v>23</v>
      </c>
      <c r="AM75">
        <v>1129.7</v>
      </c>
    </row>
    <row r="76" spans="3:39" x14ac:dyDescent="0.5">
      <c r="AA76" t="str">
        <f t="shared" si="10"/>
        <v/>
      </c>
      <c r="AB76" t="str">
        <f t="shared" si="13"/>
        <v/>
      </c>
      <c r="AC76" t="str">
        <f t="shared" si="14"/>
        <v/>
      </c>
      <c r="AF76" t="str">
        <f t="shared" si="11"/>
        <v/>
      </c>
      <c r="AG76" t="str">
        <f t="shared" si="11"/>
        <v/>
      </c>
      <c r="AH76" t="str">
        <f t="shared" si="12"/>
        <v/>
      </c>
      <c r="AJ76" t="s">
        <v>19</v>
      </c>
      <c r="AK76" t="s">
        <v>59</v>
      </c>
      <c r="AL76">
        <v>356</v>
      </c>
      <c r="AM76">
        <v>20988.9</v>
      </c>
    </row>
    <row r="77" spans="3:39" x14ac:dyDescent="0.5">
      <c r="AA77" t="str">
        <f t="shared" si="10"/>
        <v/>
      </c>
      <c r="AB77" t="str">
        <f t="shared" si="13"/>
        <v/>
      </c>
      <c r="AC77" t="str">
        <f t="shared" si="14"/>
        <v/>
      </c>
      <c r="AF77" t="str">
        <f t="shared" si="11"/>
        <v/>
      </c>
      <c r="AG77" t="str">
        <f t="shared" si="11"/>
        <v/>
      </c>
      <c r="AH77" t="str">
        <f t="shared" si="12"/>
        <v/>
      </c>
      <c r="AJ77" t="s">
        <v>19</v>
      </c>
      <c r="AK77" t="s">
        <v>62</v>
      </c>
      <c r="AL77">
        <v>1768</v>
      </c>
      <c r="AM77">
        <v>98367.099999999977</v>
      </c>
    </row>
    <row r="78" spans="3:39" x14ac:dyDescent="0.5">
      <c r="AA78" t="str">
        <f t="shared" si="10"/>
        <v/>
      </c>
      <c r="AB78" t="str">
        <f t="shared" si="13"/>
        <v/>
      </c>
      <c r="AC78" t="str">
        <f t="shared" si="14"/>
        <v/>
      </c>
      <c r="AF78" t="str">
        <f t="shared" si="11"/>
        <v/>
      </c>
      <c r="AG78" t="str">
        <f t="shared" si="11"/>
        <v/>
      </c>
      <c r="AH78" t="str">
        <f t="shared" si="12"/>
        <v/>
      </c>
      <c r="AJ78" t="s">
        <v>19</v>
      </c>
      <c r="AK78" t="s">
        <v>103</v>
      </c>
      <c r="AL78">
        <v>307</v>
      </c>
      <c r="AM78">
        <v>21911.9</v>
      </c>
    </row>
    <row r="79" spans="3:39" x14ac:dyDescent="0.5">
      <c r="AA79" t="str">
        <f t="shared" si="10"/>
        <v/>
      </c>
      <c r="AB79" t="str">
        <f t="shared" si="13"/>
        <v/>
      </c>
      <c r="AC79" t="str">
        <f t="shared" si="14"/>
        <v/>
      </c>
      <c r="AF79" t="str">
        <f t="shared" si="11"/>
        <v/>
      </c>
      <c r="AG79" t="str">
        <f t="shared" si="11"/>
        <v/>
      </c>
      <c r="AH79" t="str">
        <f t="shared" si="12"/>
        <v/>
      </c>
      <c r="AJ79" t="s">
        <v>19</v>
      </c>
      <c r="AK79" t="s">
        <v>201</v>
      </c>
      <c r="AL79">
        <v>117</v>
      </c>
      <c r="AM79">
        <v>5441.2</v>
      </c>
    </row>
    <row r="80" spans="3:39" x14ac:dyDescent="0.5">
      <c r="AA80" t="str">
        <f t="shared" si="10"/>
        <v/>
      </c>
      <c r="AB80" t="str">
        <f t="shared" si="13"/>
        <v/>
      </c>
      <c r="AC80" t="str">
        <f t="shared" si="14"/>
        <v/>
      </c>
      <c r="AF80" t="str">
        <f t="shared" si="11"/>
        <v/>
      </c>
      <c r="AG80" t="str">
        <f t="shared" si="11"/>
        <v/>
      </c>
      <c r="AH80" t="str">
        <f t="shared" si="12"/>
        <v/>
      </c>
      <c r="AJ80" t="s">
        <v>19</v>
      </c>
      <c r="AK80" t="s">
        <v>429</v>
      </c>
      <c r="AL80">
        <v>13</v>
      </c>
      <c r="AM80">
        <v>392.8</v>
      </c>
    </row>
    <row r="81" spans="27:39" x14ac:dyDescent="0.5">
      <c r="AA81" t="str">
        <f t="shared" si="10"/>
        <v/>
      </c>
      <c r="AB81" t="str">
        <f t="shared" si="13"/>
        <v/>
      </c>
      <c r="AC81" t="str">
        <f t="shared" si="14"/>
        <v/>
      </c>
      <c r="AF81" t="str">
        <f t="shared" si="11"/>
        <v/>
      </c>
      <c r="AG81" t="str">
        <f t="shared" si="11"/>
        <v/>
      </c>
      <c r="AH81" t="str">
        <f t="shared" si="12"/>
        <v/>
      </c>
      <c r="AJ81" t="s">
        <v>19</v>
      </c>
      <c r="AK81" t="s">
        <v>72</v>
      </c>
      <c r="AL81">
        <v>364</v>
      </c>
      <c r="AM81">
        <v>16172.000000000005</v>
      </c>
    </row>
    <row r="82" spans="27:39" x14ac:dyDescent="0.5">
      <c r="AA82" t="str">
        <f t="shared" si="10"/>
        <v/>
      </c>
      <c r="AB82" t="str">
        <f t="shared" si="13"/>
        <v/>
      </c>
      <c r="AC82" t="str">
        <f t="shared" si="14"/>
        <v/>
      </c>
      <c r="AF82" t="str">
        <f t="shared" si="11"/>
        <v/>
      </c>
      <c r="AG82" t="str">
        <f t="shared" si="11"/>
        <v/>
      </c>
      <c r="AH82" t="str">
        <f t="shared" si="12"/>
        <v/>
      </c>
      <c r="AJ82" t="s">
        <v>19</v>
      </c>
      <c r="AK82" t="s">
        <v>74</v>
      </c>
      <c r="AL82">
        <v>95</v>
      </c>
      <c r="AM82">
        <v>4334.9999999999991</v>
      </c>
    </row>
    <row r="83" spans="27:39" x14ac:dyDescent="0.5">
      <c r="AA83" t="str">
        <f t="shared" si="10"/>
        <v/>
      </c>
      <c r="AB83" t="str">
        <f t="shared" si="13"/>
        <v/>
      </c>
      <c r="AC83" t="str">
        <f t="shared" si="14"/>
        <v/>
      </c>
      <c r="AF83" t="str">
        <f t="shared" si="11"/>
        <v/>
      </c>
      <c r="AG83" t="str">
        <f t="shared" si="11"/>
        <v/>
      </c>
      <c r="AH83" t="str">
        <f t="shared" si="12"/>
        <v/>
      </c>
      <c r="AJ83" t="s">
        <v>19</v>
      </c>
      <c r="AK83" t="s">
        <v>77</v>
      </c>
      <c r="AL83">
        <v>737</v>
      </c>
      <c r="AM83">
        <v>37449.000000000007</v>
      </c>
    </row>
    <row r="84" spans="27:39" x14ac:dyDescent="0.5">
      <c r="AA84" t="str">
        <f t="shared" si="10"/>
        <v/>
      </c>
      <c r="AB84" t="str">
        <f t="shared" si="13"/>
        <v/>
      </c>
      <c r="AC84" t="str">
        <f t="shared" si="14"/>
        <v/>
      </c>
      <c r="AF84" t="str">
        <f t="shared" si="11"/>
        <v/>
      </c>
      <c r="AG84" t="str">
        <f t="shared" si="11"/>
        <v/>
      </c>
      <c r="AH84" t="str">
        <f t="shared" si="12"/>
        <v/>
      </c>
      <c r="AJ84" t="s">
        <v>19</v>
      </c>
      <c r="AK84" t="s">
        <v>309</v>
      </c>
      <c r="AL84">
        <v>39</v>
      </c>
      <c r="AM84">
        <v>2447.5</v>
      </c>
    </row>
    <row r="85" spans="27:39" x14ac:dyDescent="0.5">
      <c r="AA85" t="str">
        <f t="shared" si="10"/>
        <v/>
      </c>
      <c r="AB85" t="str">
        <f t="shared" si="13"/>
        <v/>
      </c>
      <c r="AC85" t="str">
        <f t="shared" si="14"/>
        <v/>
      </c>
      <c r="AF85" t="str">
        <f t="shared" si="11"/>
        <v/>
      </c>
      <c r="AG85" t="str">
        <f t="shared" si="11"/>
        <v/>
      </c>
      <c r="AH85" t="str">
        <f t="shared" si="12"/>
        <v/>
      </c>
      <c r="AJ85" t="s">
        <v>19</v>
      </c>
      <c r="AK85" t="s">
        <v>1116</v>
      </c>
      <c r="AL85">
        <v>56</v>
      </c>
      <c r="AM85">
        <v>3391.1</v>
      </c>
    </row>
    <row r="86" spans="27:39" x14ac:dyDescent="0.5">
      <c r="AA86" t="str">
        <f t="shared" si="10"/>
        <v/>
      </c>
      <c r="AB86" t="str">
        <f t="shared" si="13"/>
        <v/>
      </c>
      <c r="AC86" t="str">
        <f t="shared" si="14"/>
        <v/>
      </c>
      <c r="AF86" t="str">
        <f t="shared" si="11"/>
        <v/>
      </c>
      <c r="AG86" t="str">
        <f t="shared" si="11"/>
        <v/>
      </c>
      <c r="AH86" t="str">
        <f t="shared" si="12"/>
        <v/>
      </c>
      <c r="AJ86" t="s">
        <v>19</v>
      </c>
      <c r="AK86" t="s">
        <v>700</v>
      </c>
      <c r="AL86">
        <v>2</v>
      </c>
      <c r="AM86">
        <v>30.8</v>
      </c>
    </row>
    <row r="87" spans="27:39" x14ac:dyDescent="0.5">
      <c r="AA87" t="str">
        <f t="shared" si="10"/>
        <v/>
      </c>
      <c r="AB87" t="str">
        <f t="shared" si="13"/>
        <v/>
      </c>
      <c r="AC87" t="str">
        <f t="shared" si="14"/>
        <v/>
      </c>
      <c r="AF87" t="str">
        <f t="shared" si="11"/>
        <v/>
      </c>
      <c r="AG87" t="str">
        <f t="shared" si="11"/>
        <v/>
      </c>
      <c r="AH87" t="str">
        <f t="shared" si="12"/>
        <v/>
      </c>
      <c r="AJ87" t="s">
        <v>19</v>
      </c>
      <c r="AK87" t="s">
        <v>268</v>
      </c>
      <c r="AL87">
        <v>8</v>
      </c>
      <c r="AM87">
        <v>332.3</v>
      </c>
    </row>
    <row r="88" spans="27:39" x14ac:dyDescent="0.5">
      <c r="AA88" t="str">
        <f t="shared" si="10"/>
        <v/>
      </c>
      <c r="AB88" t="str">
        <f t="shared" si="13"/>
        <v/>
      </c>
      <c r="AC88" t="str">
        <f t="shared" si="14"/>
        <v/>
      </c>
      <c r="AF88" t="str">
        <f t="shared" si="11"/>
        <v/>
      </c>
      <c r="AG88" t="str">
        <f t="shared" si="11"/>
        <v/>
      </c>
      <c r="AH88" t="str">
        <f t="shared" si="12"/>
        <v/>
      </c>
      <c r="AJ88" t="s">
        <v>19</v>
      </c>
      <c r="AK88" t="s">
        <v>377</v>
      </c>
      <c r="AL88">
        <v>52</v>
      </c>
      <c r="AM88">
        <v>3175.9999999999995</v>
      </c>
    </row>
    <row r="89" spans="27:39" x14ac:dyDescent="0.5">
      <c r="AA89" t="str">
        <f t="shared" si="10"/>
        <v/>
      </c>
      <c r="AB89" t="str">
        <f t="shared" si="13"/>
        <v/>
      </c>
      <c r="AC89" t="str">
        <f t="shared" si="14"/>
        <v/>
      </c>
      <c r="AF89" t="str">
        <f t="shared" si="11"/>
        <v/>
      </c>
      <c r="AG89" t="str">
        <f t="shared" si="11"/>
        <v/>
      </c>
      <c r="AH89" t="str">
        <f t="shared" si="12"/>
        <v/>
      </c>
      <c r="AJ89" t="s">
        <v>19</v>
      </c>
      <c r="AK89" t="s">
        <v>108</v>
      </c>
      <c r="AL89">
        <v>295</v>
      </c>
      <c r="AM89">
        <v>20939.600000000002</v>
      </c>
    </row>
    <row r="90" spans="27:39" x14ac:dyDescent="0.5">
      <c r="AA90" t="str">
        <f t="shared" si="10"/>
        <v/>
      </c>
      <c r="AB90" t="str">
        <f t="shared" si="13"/>
        <v/>
      </c>
      <c r="AC90" t="str">
        <f t="shared" si="14"/>
        <v/>
      </c>
      <c r="AF90" t="str">
        <f t="shared" si="11"/>
        <v/>
      </c>
      <c r="AG90" t="str">
        <f t="shared" si="11"/>
        <v/>
      </c>
      <c r="AH90" t="str">
        <f t="shared" si="12"/>
        <v/>
      </c>
      <c r="AJ90" t="s">
        <v>19</v>
      </c>
      <c r="AK90" t="s">
        <v>110</v>
      </c>
      <c r="AL90">
        <v>195</v>
      </c>
      <c r="AM90">
        <v>10185.899999999996</v>
      </c>
    </row>
    <row r="91" spans="27:39" x14ac:dyDescent="0.5">
      <c r="AA91" t="str">
        <f t="shared" si="10"/>
        <v/>
      </c>
      <c r="AB91" t="str">
        <f t="shared" si="13"/>
        <v/>
      </c>
      <c r="AC91" t="str">
        <f t="shared" si="14"/>
        <v/>
      </c>
      <c r="AF91" t="str">
        <f t="shared" si="11"/>
        <v/>
      </c>
      <c r="AG91" t="str">
        <f t="shared" si="11"/>
        <v/>
      </c>
      <c r="AH91" t="str">
        <f t="shared" si="12"/>
        <v/>
      </c>
      <c r="AJ91" t="s">
        <v>19</v>
      </c>
      <c r="AK91" t="s">
        <v>292</v>
      </c>
      <c r="AL91">
        <v>20</v>
      </c>
      <c r="AM91">
        <v>958.7</v>
      </c>
    </row>
    <row r="92" spans="27:39" x14ac:dyDescent="0.5">
      <c r="AA92" t="str">
        <f t="shared" si="10"/>
        <v/>
      </c>
      <c r="AB92" t="str">
        <f t="shared" si="13"/>
        <v/>
      </c>
      <c r="AC92" t="str">
        <f t="shared" si="14"/>
        <v/>
      </c>
      <c r="AF92" t="str">
        <f t="shared" si="11"/>
        <v/>
      </c>
      <c r="AG92" t="str">
        <f t="shared" si="11"/>
        <v/>
      </c>
      <c r="AH92" t="str">
        <f t="shared" si="12"/>
        <v/>
      </c>
      <c r="AJ92" t="s">
        <v>19</v>
      </c>
      <c r="AK92" t="s">
        <v>79</v>
      </c>
      <c r="AL92">
        <v>6</v>
      </c>
      <c r="AM92">
        <v>323</v>
      </c>
    </row>
    <row r="93" spans="27:39" x14ac:dyDescent="0.5">
      <c r="AA93" t="str">
        <f t="shared" si="10"/>
        <v/>
      </c>
      <c r="AB93" t="str">
        <f t="shared" si="13"/>
        <v/>
      </c>
      <c r="AC93" t="str">
        <f t="shared" si="14"/>
        <v/>
      </c>
      <c r="AF93" t="str">
        <f t="shared" si="11"/>
        <v/>
      </c>
      <c r="AG93" t="str">
        <f t="shared" si="11"/>
        <v/>
      </c>
      <c r="AH93" t="str">
        <f t="shared" si="12"/>
        <v/>
      </c>
      <c r="AJ93" t="s">
        <v>19</v>
      </c>
      <c r="AK93" t="s">
        <v>608</v>
      </c>
      <c r="AL93">
        <v>5</v>
      </c>
      <c r="AM93">
        <v>167.70000000000002</v>
      </c>
    </row>
    <row r="94" spans="27:39" x14ac:dyDescent="0.5">
      <c r="AA94" t="str">
        <f t="shared" si="10"/>
        <v/>
      </c>
      <c r="AB94" t="str">
        <f t="shared" si="13"/>
        <v/>
      </c>
      <c r="AC94" t="str">
        <f t="shared" si="14"/>
        <v/>
      </c>
      <c r="AF94" t="str">
        <f t="shared" si="11"/>
        <v/>
      </c>
      <c r="AG94" t="str">
        <f t="shared" si="11"/>
        <v/>
      </c>
      <c r="AH94" t="str">
        <f t="shared" si="12"/>
        <v/>
      </c>
      <c r="AJ94" t="s">
        <v>19</v>
      </c>
      <c r="AK94" t="s">
        <v>113</v>
      </c>
      <c r="AL94">
        <v>94</v>
      </c>
      <c r="AM94">
        <v>3978.5</v>
      </c>
    </row>
    <row r="95" spans="27:39" x14ac:dyDescent="0.5">
      <c r="AA95" t="str">
        <f t="shared" si="10"/>
        <v/>
      </c>
      <c r="AB95" t="str">
        <f t="shared" si="13"/>
        <v/>
      </c>
      <c r="AC95" t="str">
        <f t="shared" si="14"/>
        <v/>
      </c>
      <c r="AF95" t="str">
        <f t="shared" si="11"/>
        <v/>
      </c>
      <c r="AG95" t="str">
        <f t="shared" si="11"/>
        <v/>
      </c>
      <c r="AH95" t="str">
        <f t="shared" si="12"/>
        <v/>
      </c>
      <c r="AJ95" t="s">
        <v>19</v>
      </c>
      <c r="AK95" t="s">
        <v>997</v>
      </c>
      <c r="AL95">
        <v>28</v>
      </c>
      <c r="AM95">
        <v>1405</v>
      </c>
    </row>
    <row r="96" spans="27:39" x14ac:dyDescent="0.5">
      <c r="AA96" t="str">
        <f t="shared" si="10"/>
        <v/>
      </c>
      <c r="AB96" t="str">
        <f t="shared" si="13"/>
        <v/>
      </c>
      <c r="AC96" t="str">
        <f t="shared" si="14"/>
        <v/>
      </c>
      <c r="AF96" t="str">
        <f t="shared" si="11"/>
        <v/>
      </c>
      <c r="AG96" t="str">
        <f t="shared" si="11"/>
        <v/>
      </c>
      <c r="AH96" t="str">
        <f t="shared" si="12"/>
        <v/>
      </c>
      <c r="AJ96" t="s">
        <v>19</v>
      </c>
      <c r="AK96" t="s">
        <v>82</v>
      </c>
      <c r="AL96">
        <v>179</v>
      </c>
      <c r="AM96">
        <v>9869.0999999999985</v>
      </c>
    </row>
    <row r="97" spans="27:39" x14ac:dyDescent="0.5">
      <c r="AA97" t="str">
        <f t="shared" si="10"/>
        <v/>
      </c>
      <c r="AB97" t="str">
        <f t="shared" si="13"/>
        <v/>
      </c>
      <c r="AC97" t="str">
        <f t="shared" si="14"/>
        <v/>
      </c>
      <c r="AF97" t="str">
        <f t="shared" si="11"/>
        <v/>
      </c>
      <c r="AG97" t="str">
        <f t="shared" si="11"/>
        <v/>
      </c>
      <c r="AH97" t="str">
        <f t="shared" si="12"/>
        <v/>
      </c>
      <c r="AJ97" t="s">
        <v>19</v>
      </c>
      <c r="AK97" t="s">
        <v>243</v>
      </c>
      <c r="AL97">
        <v>15</v>
      </c>
      <c r="AM97">
        <v>615.29999999999995</v>
      </c>
    </row>
    <row r="98" spans="27:39" x14ac:dyDescent="0.5">
      <c r="AA98" t="str">
        <f t="shared" si="10"/>
        <v/>
      </c>
      <c r="AB98" t="str">
        <f t="shared" si="13"/>
        <v/>
      </c>
      <c r="AC98" t="str">
        <f t="shared" si="14"/>
        <v/>
      </c>
      <c r="AF98" t="str">
        <f t="shared" si="11"/>
        <v/>
      </c>
      <c r="AG98" t="str">
        <f t="shared" si="11"/>
        <v/>
      </c>
      <c r="AH98" t="str">
        <f t="shared" si="12"/>
        <v/>
      </c>
      <c r="AJ98" t="s">
        <v>19</v>
      </c>
      <c r="AK98" t="s">
        <v>1911</v>
      </c>
      <c r="AL98">
        <v>3</v>
      </c>
      <c r="AM98">
        <v>285</v>
      </c>
    </row>
    <row r="99" spans="27:39" x14ac:dyDescent="0.5">
      <c r="AA99" t="str">
        <f t="shared" si="10"/>
        <v/>
      </c>
      <c r="AB99" t="str">
        <f t="shared" si="13"/>
        <v/>
      </c>
      <c r="AC99" t="str">
        <f t="shared" si="14"/>
        <v/>
      </c>
      <c r="AF99" t="str">
        <f t="shared" si="11"/>
        <v/>
      </c>
      <c r="AG99" t="str">
        <f t="shared" si="11"/>
        <v/>
      </c>
      <c r="AH99" t="str">
        <f t="shared" si="12"/>
        <v/>
      </c>
    </row>
  </sheetData>
  <conditionalFormatting sqref="O7:R11">
    <cfRule type="colorScale" priority="2">
      <colorScale>
        <cfvo type="min"/>
        <cfvo type="percentile" val="50"/>
        <cfvo type="max"/>
        <color rgb="FFF8696B"/>
        <color rgb="FFFCFCFF"/>
        <color rgb="FF5A8AC6"/>
      </colorScale>
    </cfRule>
  </conditionalFormatting>
  <conditionalFormatting sqref="O16:R20">
    <cfRule type="colorScale" priority="1">
      <colorScale>
        <cfvo type="min"/>
        <cfvo type="percentile" val="50"/>
        <cfvo type="max"/>
        <color rgb="FFF8696B"/>
        <color rgb="FFFCFCFF"/>
        <color rgb="FF5A8AC6"/>
      </colorScale>
    </cfRule>
  </conditionalFormatting>
  <pageMargins left="0.7" right="0.7" top="0.75" bottom="0.75" header="0.3" footer="0.3"/>
  <drawing r:id="rId10"/>
  <legacy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 &amp; KPIs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Dudekula Alla Rasool</cp:lastModifiedBy>
  <dcterms:created xsi:type="dcterms:W3CDTF">2025-06-13T02:42:26Z</dcterms:created>
  <dcterms:modified xsi:type="dcterms:W3CDTF">2026-09-15T09:47:00Z</dcterms:modified>
</cp:coreProperties>
</file>